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n\Documents\proyectos_R\datos_uraba\uraba\"/>
    </mc:Choice>
  </mc:AlternateContent>
  <xr:revisionPtr revIDLastSave="0" documentId="13_ncr:1_{287DD77F-B838-418E-A053-0EB8D4F69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3" i="1" l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</calcChain>
</file>

<file path=xl/sharedStrings.xml><?xml version="1.0" encoding="utf-8"?>
<sst xmlns="http://schemas.openxmlformats.org/spreadsheetml/2006/main" count="280" uniqueCount="60">
  <si>
    <t>dane_code</t>
  </si>
  <si>
    <t>municipio</t>
  </si>
  <si>
    <t>anio</t>
  </si>
  <si>
    <t>cobertura_acueducto</t>
  </si>
  <si>
    <t>cobertura_acueducto_rural</t>
  </si>
  <si>
    <t>cobertura_acueducto_urbano</t>
  </si>
  <si>
    <t>alcantarillado_municipal</t>
  </si>
  <si>
    <t>alcantarillado_rural</t>
  </si>
  <si>
    <t>alcantarillado_urbano</t>
  </si>
  <si>
    <t>irca_municipal</t>
  </si>
  <si>
    <t>irca_rural</t>
  </si>
  <si>
    <t>irca_urbano</t>
  </si>
  <si>
    <t>idf</t>
  </si>
  <si>
    <t>ingresos_tributarios_pc</t>
  </si>
  <si>
    <t>ingresos_ind_com_pc</t>
  </si>
  <si>
    <t>agua_potable</t>
  </si>
  <si>
    <t>usuarios_total</t>
  </si>
  <si>
    <t>usuarios_activos</t>
  </si>
  <si>
    <t>usuarios_activos_pct</t>
  </si>
  <si>
    <t>alc_usuarios_total</t>
  </si>
  <si>
    <t>alc_usuarios_activos</t>
  </si>
  <si>
    <t>alc_usuarios_activos_pct</t>
  </si>
  <si>
    <t>en_usuarios_total</t>
  </si>
  <si>
    <t>en_usuarios_activos_pct</t>
  </si>
  <si>
    <t>en_usuarios_urbano</t>
  </si>
  <si>
    <t>en_usuarios_activos_pct_urb</t>
  </si>
  <si>
    <t>en_usuarios_rural</t>
  </si>
  <si>
    <t>en_usuarios_activos_pct_rur</t>
  </si>
  <si>
    <t>avaluo_catastral_total</t>
  </si>
  <si>
    <t>avaluo_catastral_rural</t>
  </si>
  <si>
    <t>avaluo_catastral_urbano</t>
  </si>
  <si>
    <t>pob_total</t>
  </si>
  <si>
    <t>tasa_mortalidad_infantil_menores5</t>
  </si>
  <si>
    <t>mortalidad_eda_menores5</t>
  </si>
  <si>
    <t>mortalidad_desnutricion_menores5</t>
  </si>
  <si>
    <t>incidencia_dengue</t>
  </si>
  <si>
    <t>pib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</si>
  <si>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</si>
  <si>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</si>
  <si>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</si>
  <si>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</si>
  <si>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</si>
  <si>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</si>
  <si>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</si>
  <si>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</si>
  <si>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</si>
  <si>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</si>
  <si>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</si>
  <si>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</si>
  <si>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</si>
  <si>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</si>
  <si>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</si>
  <si>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</si>
  <si>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05837</t>
  </si>
  <si>
    <t>Turbo</t>
  </si>
  <si>
    <t>05873</t>
  </si>
  <si>
    <t>Vigía del Fuerte</t>
  </si>
  <si>
    <t>05665</t>
  </si>
  <si>
    <t>San Pedro de Urabá</t>
  </si>
  <si>
    <t>pib_pc*millon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</si>
</sst>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2"/>
  <sheetViews>
    <sheetView tabSelected="1" topLeftCell="V1" workbookViewId="0">
      <selection activeCell="AM3" sqref="AM3"/>
    </sheetView>
  </sheetViews>
  <sheetFormatPr baseColWidth="10" defaultColWidth="8.88671875" defaultRowHeight="14.4" x14ac:dyDescent="0.3"/>
  <cols>
    <col min="38" max="38" width="10.88671875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59</v>
      </c>
    </row>
    <row r="2" spans="1:38" x14ac:dyDescent="0.3">
      <c r="A2" t="s">
        <v>37</v>
      </c>
      <c r="B2" t="s">
        <v>38</v>
      </c>
      <c r="C2">
        <v>2014</v>
      </c>
      <c r="D2">
        <v>54.2</v>
      </c>
      <c r="E2">
        <v>8.6999999999999993</v>
      </c>
      <c r="F2">
        <v>76.8</v>
      </c>
      <c r="G2">
        <v>53.07</v>
      </c>
      <c r="H2">
        <v>5.3</v>
      </c>
      <c r="I2">
        <v>76.8</v>
      </c>
      <c r="J2">
        <v>1.7</v>
      </c>
      <c r="K2">
        <v>2.2999999999999998</v>
      </c>
      <c r="L2">
        <v>1.4</v>
      </c>
      <c r="M2">
        <v>73.16</v>
      </c>
      <c r="N2">
        <v>127578.54</v>
      </c>
      <c r="O2">
        <v>40104.61</v>
      </c>
      <c r="P2">
        <v>5132481793</v>
      </c>
      <c r="AC2">
        <v>877073.04</v>
      </c>
      <c r="AD2">
        <v>362007.71</v>
      </c>
      <c r="AE2">
        <v>515065.33</v>
      </c>
      <c r="AF2">
        <v>111088</v>
      </c>
      <c r="AG2">
        <v>14.27</v>
      </c>
    </row>
    <row r="3" spans="1:38" x14ac:dyDescent="0.3">
      <c r="A3" t="s">
        <v>39</v>
      </c>
      <c r="B3" t="s">
        <v>40</v>
      </c>
      <c r="C3">
        <v>2014</v>
      </c>
      <c r="D3">
        <v>39.79</v>
      </c>
      <c r="E3">
        <v>0.4</v>
      </c>
      <c r="F3">
        <v>96.02</v>
      </c>
      <c r="G3">
        <v>39.79</v>
      </c>
      <c r="H3">
        <v>0.4</v>
      </c>
      <c r="I3">
        <v>96.02</v>
      </c>
      <c r="J3">
        <v>5.2</v>
      </c>
      <c r="L3">
        <v>5.2</v>
      </c>
      <c r="M3">
        <v>71.05</v>
      </c>
      <c r="N3">
        <v>86968.66</v>
      </c>
      <c r="O3">
        <v>11711.59</v>
      </c>
      <c r="P3">
        <v>1535574183</v>
      </c>
      <c r="AC3">
        <v>172334.62</v>
      </c>
      <c r="AD3">
        <v>134773.22</v>
      </c>
      <c r="AE3">
        <v>37561.4</v>
      </c>
      <c r="AF3">
        <v>28913</v>
      </c>
      <c r="AG3">
        <v>28.23</v>
      </c>
      <c r="AH3">
        <v>20.67</v>
      </c>
      <c r="AI3">
        <v>20.67</v>
      </c>
    </row>
    <row r="4" spans="1:38" x14ac:dyDescent="0.3">
      <c r="A4" t="s">
        <v>41</v>
      </c>
      <c r="B4" t="s">
        <v>42</v>
      </c>
      <c r="C4">
        <v>2014</v>
      </c>
      <c r="D4">
        <v>100</v>
      </c>
      <c r="E4">
        <v>0</v>
      </c>
      <c r="F4">
        <v>100</v>
      </c>
      <c r="G4">
        <v>100</v>
      </c>
      <c r="H4">
        <v>0</v>
      </c>
      <c r="I4">
        <v>100</v>
      </c>
      <c r="J4">
        <v>1.2</v>
      </c>
      <c r="K4">
        <v>0</v>
      </c>
      <c r="L4">
        <v>1.2</v>
      </c>
      <c r="M4">
        <v>73.38</v>
      </c>
      <c r="N4">
        <v>155606.85999999999</v>
      </c>
      <c r="O4">
        <v>51838.29</v>
      </c>
      <c r="P4">
        <v>1554411857</v>
      </c>
      <c r="AC4">
        <v>305947.02</v>
      </c>
      <c r="AD4">
        <v>139039.94</v>
      </c>
      <c r="AE4">
        <v>166907.07999999999</v>
      </c>
      <c r="AF4">
        <v>43369</v>
      </c>
      <c r="AG4">
        <v>13.73</v>
      </c>
      <c r="AI4">
        <v>14.95</v>
      </c>
    </row>
    <row r="5" spans="1:38" x14ac:dyDescent="0.3">
      <c r="A5" t="s">
        <v>43</v>
      </c>
      <c r="B5" t="s">
        <v>44</v>
      </c>
      <c r="C5">
        <v>2014</v>
      </c>
      <c r="D5">
        <v>90.37</v>
      </c>
      <c r="E5">
        <v>2.97</v>
      </c>
      <c r="F5">
        <v>100</v>
      </c>
      <c r="G5">
        <v>90.37</v>
      </c>
      <c r="H5">
        <v>2.97</v>
      </c>
      <c r="I5">
        <v>100</v>
      </c>
      <c r="J5">
        <v>0.1</v>
      </c>
      <c r="L5">
        <v>0.1</v>
      </c>
      <c r="M5">
        <v>75.28</v>
      </c>
      <c r="N5">
        <v>103636.34</v>
      </c>
      <c r="O5">
        <v>19170.18</v>
      </c>
      <c r="P5">
        <v>2622851398</v>
      </c>
      <c r="AC5">
        <v>395295.7</v>
      </c>
      <c r="AD5">
        <v>115184.14</v>
      </c>
      <c r="AE5">
        <v>280111.56</v>
      </c>
      <c r="AF5">
        <v>52877</v>
      </c>
      <c r="AG5">
        <v>22.36</v>
      </c>
      <c r="AH5">
        <v>10.94</v>
      </c>
      <c r="AI5">
        <v>21.88</v>
      </c>
    </row>
    <row r="6" spans="1:38" x14ac:dyDescent="0.3">
      <c r="A6" t="s">
        <v>45</v>
      </c>
      <c r="B6" t="s">
        <v>46</v>
      </c>
      <c r="C6">
        <v>2014</v>
      </c>
      <c r="D6">
        <v>0</v>
      </c>
      <c r="E6">
        <v>0</v>
      </c>
      <c r="F6">
        <v>0</v>
      </c>
      <c r="G6">
        <v>100</v>
      </c>
      <c r="I6">
        <v>100</v>
      </c>
      <c r="M6">
        <v>65.8</v>
      </c>
      <c r="N6">
        <v>338218.61</v>
      </c>
      <c r="O6">
        <v>2690.12</v>
      </c>
      <c r="P6">
        <v>659886955</v>
      </c>
      <c r="AC6">
        <v>101013.45</v>
      </c>
      <c r="AD6">
        <v>99797.22</v>
      </c>
      <c r="AE6">
        <v>1216.23</v>
      </c>
      <c r="AF6">
        <v>4480</v>
      </c>
      <c r="AG6">
        <v>58.82</v>
      </c>
    </row>
    <row r="7" spans="1:38" x14ac:dyDescent="0.3">
      <c r="A7" t="s">
        <v>47</v>
      </c>
      <c r="B7" t="s">
        <v>48</v>
      </c>
      <c r="C7">
        <v>2014</v>
      </c>
      <c r="D7">
        <v>97.31</v>
      </c>
      <c r="E7">
        <v>92.97</v>
      </c>
      <c r="F7">
        <v>100</v>
      </c>
      <c r="G7">
        <v>97.31</v>
      </c>
      <c r="H7">
        <v>92.97</v>
      </c>
      <c r="I7">
        <v>100</v>
      </c>
      <c r="J7">
        <v>0.5</v>
      </c>
      <c r="L7">
        <v>0.5</v>
      </c>
      <c r="M7">
        <v>61.9</v>
      </c>
      <c r="N7">
        <v>46441.68</v>
      </c>
      <c r="O7">
        <v>8856.34</v>
      </c>
      <c r="P7">
        <v>1001577926</v>
      </c>
      <c r="AC7">
        <v>86252.01</v>
      </c>
      <c r="AD7">
        <v>40137.42</v>
      </c>
      <c r="AE7">
        <v>46114.58</v>
      </c>
      <c r="AF7">
        <v>13385</v>
      </c>
      <c r="AG7">
        <v>37.83</v>
      </c>
      <c r="AH7">
        <v>87.53</v>
      </c>
      <c r="AI7">
        <v>131.29</v>
      </c>
    </row>
    <row r="8" spans="1:38" x14ac:dyDescent="0.3">
      <c r="A8" t="s">
        <v>49</v>
      </c>
      <c r="B8" t="s">
        <v>50</v>
      </c>
      <c r="C8">
        <v>2014</v>
      </c>
      <c r="D8">
        <v>22.63</v>
      </c>
      <c r="E8">
        <v>0</v>
      </c>
      <c r="F8">
        <v>100</v>
      </c>
      <c r="G8">
        <v>22.63</v>
      </c>
      <c r="H8">
        <v>0</v>
      </c>
      <c r="I8">
        <v>100</v>
      </c>
      <c r="J8">
        <v>1.7</v>
      </c>
      <c r="L8">
        <v>1.7</v>
      </c>
      <c r="M8">
        <v>68.42</v>
      </c>
      <c r="N8">
        <v>45862.55</v>
      </c>
      <c r="O8">
        <v>5247.39</v>
      </c>
      <c r="P8">
        <v>2573435800</v>
      </c>
      <c r="AC8">
        <v>219370</v>
      </c>
      <c r="AD8">
        <v>89513.83</v>
      </c>
      <c r="AE8">
        <v>129856.17</v>
      </c>
      <c r="AF8">
        <v>40069</v>
      </c>
      <c r="AG8">
        <v>16.16</v>
      </c>
      <c r="AI8">
        <v>13.3</v>
      </c>
    </row>
    <row r="9" spans="1:38" x14ac:dyDescent="0.3">
      <c r="A9" t="s">
        <v>51</v>
      </c>
      <c r="B9" t="s">
        <v>52</v>
      </c>
      <c r="C9">
        <v>2014</v>
      </c>
      <c r="D9">
        <v>11.43</v>
      </c>
      <c r="E9">
        <v>0.5</v>
      </c>
      <c r="F9">
        <v>52.24</v>
      </c>
      <c r="G9">
        <v>11.43</v>
      </c>
      <c r="H9">
        <v>0.5</v>
      </c>
      <c r="I9">
        <v>52.24</v>
      </c>
      <c r="J9">
        <v>75.099999999999994</v>
      </c>
      <c r="L9">
        <v>72.7</v>
      </c>
      <c r="M9">
        <v>64.989999999999995</v>
      </c>
      <c r="N9">
        <v>62550.44</v>
      </c>
      <c r="O9">
        <v>12520.08</v>
      </c>
      <c r="P9">
        <v>1303448639</v>
      </c>
      <c r="AC9">
        <v>45147.77</v>
      </c>
      <c r="AD9">
        <v>39784.32</v>
      </c>
      <c r="AE9">
        <v>5363.45</v>
      </c>
      <c r="AF9">
        <v>18767</v>
      </c>
      <c r="AG9">
        <v>11.06</v>
      </c>
    </row>
    <row r="10" spans="1:38" x14ac:dyDescent="0.3">
      <c r="A10" t="s">
        <v>53</v>
      </c>
      <c r="B10" t="s">
        <v>54</v>
      </c>
      <c r="C10">
        <v>2014</v>
      </c>
      <c r="D10">
        <v>38.72</v>
      </c>
      <c r="E10">
        <v>31.31</v>
      </c>
      <c r="F10">
        <v>53.96</v>
      </c>
      <c r="G10">
        <v>8.59</v>
      </c>
      <c r="H10">
        <v>1.73</v>
      </c>
      <c r="I10">
        <v>22.69</v>
      </c>
      <c r="J10">
        <v>10.3</v>
      </c>
      <c r="K10">
        <v>11.3</v>
      </c>
      <c r="L10">
        <v>8.6999999999999993</v>
      </c>
      <c r="M10">
        <v>74.03</v>
      </c>
      <c r="N10">
        <v>130787.35</v>
      </c>
      <c r="O10">
        <v>32221.33</v>
      </c>
      <c r="P10">
        <v>6020262651</v>
      </c>
      <c r="AC10">
        <v>673661.38</v>
      </c>
      <c r="AD10">
        <v>352650.53</v>
      </c>
      <c r="AE10">
        <v>321010.84999999998</v>
      </c>
      <c r="AF10">
        <v>117026</v>
      </c>
      <c r="AG10">
        <v>13.92</v>
      </c>
      <c r="AI10">
        <v>5.19</v>
      </c>
    </row>
    <row r="11" spans="1:38" x14ac:dyDescent="0.3">
      <c r="A11" t="s">
        <v>55</v>
      </c>
      <c r="B11" t="s">
        <v>56</v>
      </c>
      <c r="C11">
        <v>2014</v>
      </c>
      <c r="D11">
        <v>89.81</v>
      </c>
      <c r="E11">
        <v>0</v>
      </c>
      <c r="F11">
        <v>99.84</v>
      </c>
      <c r="G11">
        <v>89.81</v>
      </c>
      <c r="H11">
        <v>0</v>
      </c>
      <c r="I11">
        <v>99.84</v>
      </c>
      <c r="M11">
        <v>59.81</v>
      </c>
      <c r="N11">
        <v>112787.36</v>
      </c>
      <c r="O11">
        <v>10384.34</v>
      </c>
      <c r="P11">
        <v>548220783</v>
      </c>
      <c r="AC11">
        <v>29354.080000000002</v>
      </c>
      <c r="AD11">
        <v>27772.33</v>
      </c>
      <c r="AE11">
        <v>1581.74</v>
      </c>
      <c r="AF11">
        <v>8748</v>
      </c>
      <c r="AG11">
        <v>38.46</v>
      </c>
    </row>
    <row r="12" spans="1:38" x14ac:dyDescent="0.3">
      <c r="A12" t="s">
        <v>57</v>
      </c>
      <c r="B12" t="s">
        <v>58</v>
      </c>
      <c r="C12">
        <v>2014</v>
      </c>
      <c r="D12">
        <v>34.85</v>
      </c>
      <c r="E12">
        <v>10.8</v>
      </c>
      <c r="F12">
        <v>71.989999999999995</v>
      </c>
      <c r="G12">
        <v>21.6</v>
      </c>
      <c r="H12">
        <v>0</v>
      </c>
      <c r="I12">
        <v>54.95</v>
      </c>
      <c r="J12">
        <v>8.6999999999999993</v>
      </c>
      <c r="L12">
        <v>8.6999999999999993</v>
      </c>
      <c r="M12">
        <v>67.819999999999993</v>
      </c>
      <c r="N12">
        <v>97771.11</v>
      </c>
      <c r="O12">
        <v>13268.07</v>
      </c>
      <c r="P12">
        <v>1533048152</v>
      </c>
      <c r="AC12">
        <v>80535.38</v>
      </c>
      <c r="AD12">
        <v>40146.660000000003</v>
      </c>
      <c r="AE12">
        <v>40388.720000000001</v>
      </c>
      <c r="AF12">
        <v>29525</v>
      </c>
      <c r="AG12">
        <v>16.57</v>
      </c>
    </row>
    <row r="13" spans="1:38" x14ac:dyDescent="0.3">
      <c r="A13" t="s">
        <v>37</v>
      </c>
      <c r="B13" t="s">
        <v>38</v>
      </c>
      <c r="C13">
        <v>2015</v>
      </c>
      <c r="D13">
        <v>52.98</v>
      </c>
      <c r="E13">
        <v>16.989999999999998</v>
      </c>
      <c r="F13">
        <v>63.86</v>
      </c>
      <c r="G13">
        <v>51.89</v>
      </c>
      <c r="H13">
        <v>12.32</v>
      </c>
      <c r="I13">
        <v>63.86</v>
      </c>
      <c r="J13">
        <v>0</v>
      </c>
      <c r="K13">
        <v>0</v>
      </c>
      <c r="L13">
        <v>0</v>
      </c>
      <c r="M13">
        <v>75.41</v>
      </c>
      <c r="N13">
        <v>149124.64000000001</v>
      </c>
      <c r="O13">
        <v>42947.45</v>
      </c>
      <c r="P13">
        <v>5133952714</v>
      </c>
      <c r="AC13">
        <v>897938.3</v>
      </c>
      <c r="AD13">
        <v>350086.92</v>
      </c>
      <c r="AE13">
        <v>547851.38</v>
      </c>
      <c r="AF13">
        <v>113243</v>
      </c>
      <c r="AG13">
        <v>11.66</v>
      </c>
      <c r="AK13">
        <v>2031.946126685267</v>
      </c>
      <c r="AL13">
        <f t="shared" ref="AL13:AL66" si="0">(AK13/AF13)*1000000</f>
        <v>17943.238228281371</v>
      </c>
    </row>
    <row r="14" spans="1:38" x14ac:dyDescent="0.3">
      <c r="A14" t="s">
        <v>39</v>
      </c>
      <c r="B14" t="s">
        <v>40</v>
      </c>
      <c r="C14">
        <v>2015</v>
      </c>
      <c r="D14">
        <v>56.31</v>
      </c>
      <c r="E14">
        <v>37.450000000000003</v>
      </c>
      <c r="F14">
        <v>85.18</v>
      </c>
      <c r="G14">
        <v>24.98</v>
      </c>
      <c r="H14">
        <v>0</v>
      </c>
      <c r="I14">
        <v>63.22</v>
      </c>
      <c r="J14">
        <v>0.1</v>
      </c>
      <c r="L14">
        <v>0.1</v>
      </c>
      <c r="M14">
        <v>66.989999999999995</v>
      </c>
      <c r="N14">
        <v>81344.66</v>
      </c>
      <c r="O14">
        <v>13856.75</v>
      </c>
      <c r="P14">
        <v>1594936969</v>
      </c>
      <c r="AC14">
        <v>300387.74</v>
      </c>
      <c r="AD14">
        <v>260507.51999999999</v>
      </c>
      <c r="AE14">
        <v>39880.22</v>
      </c>
      <c r="AF14">
        <v>28917</v>
      </c>
      <c r="AG14">
        <v>10.18</v>
      </c>
      <c r="AK14">
        <v>269.4910465316932</v>
      </c>
      <c r="AL14">
        <f t="shared" si="0"/>
        <v>9319.4676671747839</v>
      </c>
    </row>
    <row r="15" spans="1:38" x14ac:dyDescent="0.3">
      <c r="A15" t="s">
        <v>41</v>
      </c>
      <c r="B15" t="s">
        <v>42</v>
      </c>
      <c r="C15">
        <v>2015</v>
      </c>
      <c r="D15">
        <v>100</v>
      </c>
      <c r="E15">
        <v>0</v>
      </c>
      <c r="F15">
        <v>100</v>
      </c>
      <c r="G15">
        <v>55.51</v>
      </c>
      <c r="H15">
        <v>0</v>
      </c>
      <c r="I15">
        <v>55.51</v>
      </c>
      <c r="J15">
        <v>0</v>
      </c>
      <c r="K15">
        <v>0</v>
      </c>
      <c r="L15">
        <v>0</v>
      </c>
      <c r="M15">
        <v>74.5</v>
      </c>
      <c r="N15">
        <v>167594.39000000001</v>
      </c>
      <c r="O15">
        <v>50752.04</v>
      </c>
      <c r="P15">
        <v>2083739676</v>
      </c>
      <c r="AC15">
        <v>315640.46999999997</v>
      </c>
      <c r="AD15">
        <v>143248.6</v>
      </c>
      <c r="AE15">
        <v>172391.87</v>
      </c>
      <c r="AF15">
        <v>44404</v>
      </c>
      <c r="AG15">
        <v>8.26</v>
      </c>
      <c r="AI15">
        <v>14.61</v>
      </c>
      <c r="AK15">
        <v>1122.207987601905</v>
      </c>
      <c r="AL15">
        <f t="shared" si="0"/>
        <v>25272.677857893545</v>
      </c>
    </row>
    <row r="16" spans="1:38" x14ac:dyDescent="0.3">
      <c r="A16" t="s">
        <v>43</v>
      </c>
      <c r="B16" t="s">
        <v>44</v>
      </c>
      <c r="C16">
        <v>2015</v>
      </c>
      <c r="D16">
        <v>86.7</v>
      </c>
      <c r="E16">
        <v>3.01</v>
      </c>
      <c r="F16">
        <v>99.12</v>
      </c>
      <c r="G16">
        <v>86.7</v>
      </c>
      <c r="H16">
        <v>3.01</v>
      </c>
      <c r="I16">
        <v>99.12</v>
      </c>
      <c r="J16">
        <v>0</v>
      </c>
      <c r="L16">
        <v>0</v>
      </c>
      <c r="M16">
        <v>71.2</v>
      </c>
      <c r="N16">
        <v>106021.04</v>
      </c>
      <c r="O16">
        <v>25299.98</v>
      </c>
      <c r="P16">
        <v>2691068404</v>
      </c>
      <c r="AC16">
        <v>568991.42000000004</v>
      </c>
      <c r="AD16">
        <v>279387.83</v>
      </c>
      <c r="AE16">
        <v>289603.59000000003</v>
      </c>
      <c r="AF16">
        <v>53865</v>
      </c>
      <c r="AG16">
        <v>8.52</v>
      </c>
      <c r="AI16">
        <v>21.38</v>
      </c>
      <c r="AK16">
        <v>800.51563755733798</v>
      </c>
      <c r="AL16">
        <f t="shared" si="0"/>
        <v>14861.51745209947</v>
      </c>
    </row>
    <row r="17" spans="1:38" x14ac:dyDescent="0.3">
      <c r="A17" t="s">
        <v>45</v>
      </c>
      <c r="B17" t="s">
        <v>46</v>
      </c>
      <c r="C17">
        <v>2015</v>
      </c>
      <c r="D17">
        <v>0</v>
      </c>
      <c r="E17">
        <v>0</v>
      </c>
      <c r="F17">
        <v>0</v>
      </c>
      <c r="M17">
        <v>68.069999999999993</v>
      </c>
      <c r="N17">
        <v>261411.7</v>
      </c>
      <c r="O17">
        <v>1193.77</v>
      </c>
      <c r="P17">
        <v>704998704</v>
      </c>
      <c r="AC17">
        <v>104043.86</v>
      </c>
      <c r="AD17">
        <v>102791.14</v>
      </c>
      <c r="AE17">
        <v>1252.72</v>
      </c>
      <c r="AF17">
        <v>4589</v>
      </c>
      <c r="AG17">
        <v>52.63</v>
      </c>
      <c r="AH17">
        <v>206.19</v>
      </c>
      <c r="AI17">
        <v>206.19</v>
      </c>
      <c r="AK17">
        <v>37.297646768712163</v>
      </c>
      <c r="AL17">
        <f t="shared" si="0"/>
        <v>8127.6196924628812</v>
      </c>
    </row>
    <row r="18" spans="1:38" x14ac:dyDescent="0.3">
      <c r="A18" t="s">
        <v>47</v>
      </c>
      <c r="B18" t="s">
        <v>48</v>
      </c>
      <c r="C18">
        <v>2015</v>
      </c>
      <c r="D18">
        <v>97.31</v>
      </c>
      <c r="E18">
        <v>92.97</v>
      </c>
      <c r="F18">
        <v>100</v>
      </c>
      <c r="G18">
        <v>97.31</v>
      </c>
      <c r="H18">
        <v>92.97</v>
      </c>
      <c r="I18">
        <v>100</v>
      </c>
      <c r="J18">
        <v>1.5</v>
      </c>
      <c r="L18">
        <v>1.5</v>
      </c>
      <c r="M18">
        <v>63.4</v>
      </c>
      <c r="N18">
        <v>82456.19</v>
      </c>
      <c r="O18">
        <v>9875.61</v>
      </c>
      <c r="P18">
        <v>1114760022</v>
      </c>
      <c r="AC18">
        <v>89206.52</v>
      </c>
      <c r="AD18">
        <v>41722.85</v>
      </c>
      <c r="AE18">
        <v>47483.67</v>
      </c>
      <c r="AF18">
        <v>13512</v>
      </c>
      <c r="AG18">
        <v>25.81</v>
      </c>
      <c r="AI18">
        <v>42.84</v>
      </c>
      <c r="AK18">
        <v>135.17723608495101</v>
      </c>
      <c r="AL18">
        <f t="shared" si="0"/>
        <v>10004.235944712182</v>
      </c>
    </row>
    <row r="19" spans="1:38" x14ac:dyDescent="0.3">
      <c r="A19" t="s">
        <v>49</v>
      </c>
      <c r="B19" t="s">
        <v>50</v>
      </c>
      <c r="C19">
        <v>2015</v>
      </c>
      <c r="D19">
        <v>20.03</v>
      </c>
      <c r="E19">
        <v>0</v>
      </c>
      <c r="F19">
        <v>100</v>
      </c>
      <c r="G19">
        <v>20.03</v>
      </c>
      <c r="H19">
        <v>0</v>
      </c>
      <c r="I19">
        <v>100</v>
      </c>
      <c r="J19">
        <v>4.0999999999999996</v>
      </c>
      <c r="L19">
        <v>4.0999999999999996</v>
      </c>
      <c r="M19">
        <v>74.5</v>
      </c>
      <c r="N19">
        <v>96666.880000000005</v>
      </c>
      <c r="O19">
        <v>11491.57</v>
      </c>
      <c r="P19">
        <v>2706769972</v>
      </c>
      <c r="AC19">
        <v>461538.66</v>
      </c>
      <c r="AD19">
        <v>327786.8</v>
      </c>
      <c r="AE19">
        <v>133751.85</v>
      </c>
      <c r="AF19">
        <v>40508</v>
      </c>
      <c r="AG19">
        <v>14.41</v>
      </c>
      <c r="AH19">
        <v>25.99</v>
      </c>
      <c r="AK19">
        <v>414.20087285561488</v>
      </c>
      <c r="AL19">
        <f t="shared" si="0"/>
        <v>10225.162260679739</v>
      </c>
    </row>
    <row r="20" spans="1:38" x14ac:dyDescent="0.3">
      <c r="A20" t="s">
        <v>51</v>
      </c>
      <c r="B20" t="s">
        <v>52</v>
      </c>
      <c r="C20">
        <v>2015</v>
      </c>
      <c r="D20">
        <v>11.4</v>
      </c>
      <c r="E20">
        <v>0</v>
      </c>
      <c r="F20">
        <v>50.78</v>
      </c>
      <c r="G20">
        <v>11.4</v>
      </c>
      <c r="H20">
        <v>0</v>
      </c>
      <c r="I20">
        <v>50.78</v>
      </c>
      <c r="J20">
        <v>47.6</v>
      </c>
      <c r="L20">
        <v>48.2</v>
      </c>
      <c r="M20">
        <v>69.02</v>
      </c>
      <c r="N20">
        <v>78109.23</v>
      </c>
      <c r="O20">
        <v>17429.240000000002</v>
      </c>
      <c r="P20">
        <v>1408103742</v>
      </c>
      <c r="AC20">
        <v>47776.7</v>
      </c>
      <c r="AD20">
        <v>41199.839999999997</v>
      </c>
      <c r="AE20">
        <v>6576.86</v>
      </c>
      <c r="AF20">
        <v>19025</v>
      </c>
      <c r="AG20">
        <v>16.63</v>
      </c>
      <c r="AK20">
        <v>183.29217953085791</v>
      </c>
      <c r="AL20">
        <f t="shared" si="0"/>
        <v>9634.2801330280108</v>
      </c>
    </row>
    <row r="21" spans="1:38" x14ac:dyDescent="0.3">
      <c r="A21" t="s">
        <v>53</v>
      </c>
      <c r="B21" t="s">
        <v>54</v>
      </c>
      <c r="C21">
        <v>2015</v>
      </c>
      <c r="D21">
        <v>38.72</v>
      </c>
      <c r="E21">
        <v>31.31</v>
      </c>
      <c r="F21">
        <v>53.96</v>
      </c>
      <c r="G21">
        <v>8.59</v>
      </c>
      <c r="H21">
        <v>1.73</v>
      </c>
      <c r="I21">
        <v>22.69</v>
      </c>
      <c r="J21">
        <v>4.5999999999999996</v>
      </c>
      <c r="K21">
        <v>1.8</v>
      </c>
      <c r="L21">
        <v>6</v>
      </c>
      <c r="M21">
        <v>74.34</v>
      </c>
      <c r="N21">
        <v>132280.49</v>
      </c>
      <c r="O21">
        <v>33645.35</v>
      </c>
      <c r="P21">
        <v>6295816027</v>
      </c>
      <c r="AC21">
        <v>705002.6</v>
      </c>
      <c r="AD21">
        <v>371530.84</v>
      </c>
      <c r="AE21">
        <v>333471.76</v>
      </c>
      <c r="AF21">
        <v>118571</v>
      </c>
      <c r="AG21">
        <v>16.149999999999999</v>
      </c>
      <c r="AH21">
        <v>10.119999999999999</v>
      </c>
      <c r="AI21">
        <v>5.0599999999999996</v>
      </c>
      <c r="AK21">
        <v>2091.9000939048819</v>
      </c>
      <c r="AL21">
        <f t="shared" si="0"/>
        <v>17642.594680865321</v>
      </c>
    </row>
    <row r="22" spans="1:38" x14ac:dyDescent="0.3">
      <c r="A22" t="s">
        <v>55</v>
      </c>
      <c r="B22" t="s">
        <v>56</v>
      </c>
      <c r="C22">
        <v>2015</v>
      </c>
      <c r="D22">
        <v>89.68</v>
      </c>
      <c r="E22">
        <v>0</v>
      </c>
      <c r="F22">
        <v>99.68</v>
      </c>
      <c r="G22">
        <v>89.68</v>
      </c>
      <c r="H22">
        <v>0</v>
      </c>
      <c r="I22">
        <v>99.68</v>
      </c>
      <c r="M22">
        <v>70.3</v>
      </c>
      <c r="N22">
        <v>219299.86</v>
      </c>
      <c r="O22">
        <v>21182.240000000002</v>
      </c>
      <c r="P22">
        <v>588564176</v>
      </c>
      <c r="AC22">
        <v>30455.599999999999</v>
      </c>
      <c r="AD22">
        <v>28826.41</v>
      </c>
      <c r="AE22">
        <v>1629.19</v>
      </c>
      <c r="AF22">
        <v>8776</v>
      </c>
      <c r="AG22">
        <v>35.71</v>
      </c>
      <c r="AI22">
        <v>170.94</v>
      </c>
      <c r="AK22">
        <v>53.533852822845567</v>
      </c>
      <c r="AL22">
        <f t="shared" si="0"/>
        <v>6100.0288084372805</v>
      </c>
    </row>
    <row r="23" spans="1:38" x14ac:dyDescent="0.3">
      <c r="A23" t="s">
        <v>57</v>
      </c>
      <c r="B23" t="s">
        <v>58</v>
      </c>
      <c r="C23">
        <v>2015</v>
      </c>
      <c r="D23">
        <v>37.229999999999997</v>
      </c>
      <c r="E23">
        <v>11.79</v>
      </c>
      <c r="F23">
        <v>72.52</v>
      </c>
      <c r="G23">
        <v>23.11</v>
      </c>
      <c r="H23">
        <v>0</v>
      </c>
      <c r="I23">
        <v>55.18</v>
      </c>
      <c r="J23">
        <v>0.8</v>
      </c>
      <c r="L23">
        <v>0.8</v>
      </c>
      <c r="M23">
        <v>63.1</v>
      </c>
      <c r="N23">
        <v>147601.15</v>
      </c>
      <c r="O23">
        <v>16508.79</v>
      </c>
      <c r="P23">
        <v>1606110369</v>
      </c>
      <c r="AC23">
        <v>83017.440000000002</v>
      </c>
      <c r="AD23">
        <v>41350.370000000003</v>
      </c>
      <c r="AE23">
        <v>41667.07</v>
      </c>
      <c r="AF23">
        <v>29792</v>
      </c>
      <c r="AG23">
        <v>14.55</v>
      </c>
      <c r="AK23">
        <v>271.44189935393672</v>
      </c>
      <c r="AL23">
        <f t="shared" si="0"/>
        <v>9111.2345379275212</v>
      </c>
    </row>
    <row r="24" spans="1:38" x14ac:dyDescent="0.3">
      <c r="A24" t="s">
        <v>37</v>
      </c>
      <c r="B24" t="s">
        <v>38</v>
      </c>
      <c r="C24">
        <v>2016</v>
      </c>
      <c r="D24">
        <v>66.540000000000006</v>
      </c>
      <c r="E24">
        <v>21.14</v>
      </c>
      <c r="F24">
        <v>78.540000000000006</v>
      </c>
      <c r="G24">
        <v>65.31</v>
      </c>
      <c r="H24">
        <v>15.29</v>
      </c>
      <c r="I24">
        <v>78.540000000000006</v>
      </c>
      <c r="J24">
        <v>0.2</v>
      </c>
      <c r="K24">
        <v>0</v>
      </c>
      <c r="L24">
        <v>0.33333333333333331</v>
      </c>
      <c r="M24">
        <v>74.319999999999993</v>
      </c>
      <c r="N24">
        <v>177391.02</v>
      </c>
      <c r="O24">
        <v>54587.02</v>
      </c>
      <c r="P24">
        <v>6082789505</v>
      </c>
      <c r="AC24">
        <v>1199874.29</v>
      </c>
      <c r="AD24">
        <v>600684.43999999994</v>
      </c>
      <c r="AE24">
        <v>599189.85</v>
      </c>
      <c r="AF24">
        <v>115555</v>
      </c>
      <c r="AG24">
        <v>9.4700000000000006</v>
      </c>
      <c r="AI24">
        <v>8.83</v>
      </c>
      <c r="AK24">
        <v>2037.186447122602</v>
      </c>
      <c r="AL24">
        <f t="shared" si="0"/>
        <v>17629.582857709331</v>
      </c>
    </row>
    <row r="25" spans="1:38" x14ac:dyDescent="0.3">
      <c r="A25" t="s">
        <v>39</v>
      </c>
      <c r="B25" t="s">
        <v>40</v>
      </c>
      <c r="C25">
        <v>2016</v>
      </c>
      <c r="D25">
        <v>55.73</v>
      </c>
      <c r="E25">
        <v>0</v>
      </c>
      <c r="F25">
        <v>55.73</v>
      </c>
      <c r="G25">
        <v>24.57</v>
      </c>
      <c r="H25">
        <v>0</v>
      </c>
      <c r="I25">
        <v>24.57</v>
      </c>
      <c r="J25">
        <v>0.3</v>
      </c>
      <c r="L25">
        <v>0.3</v>
      </c>
      <c r="M25">
        <v>67.56</v>
      </c>
      <c r="N25">
        <v>95546.7</v>
      </c>
      <c r="O25">
        <v>14021.57</v>
      </c>
      <c r="P25">
        <v>1850392222</v>
      </c>
      <c r="AC25">
        <v>318802.26</v>
      </c>
      <c r="AD25">
        <v>276368.82</v>
      </c>
      <c r="AE25">
        <v>42433.440000000002</v>
      </c>
      <c r="AF25">
        <v>28981</v>
      </c>
      <c r="AG25">
        <v>17.510000000000002</v>
      </c>
      <c r="AK25">
        <v>266.70307342820593</v>
      </c>
      <c r="AL25">
        <f t="shared" si="0"/>
        <v>9202.6870511095512</v>
      </c>
    </row>
    <row r="26" spans="1:38" x14ac:dyDescent="0.3">
      <c r="A26" t="s">
        <v>41</v>
      </c>
      <c r="B26" t="s">
        <v>42</v>
      </c>
      <c r="C26">
        <v>2016</v>
      </c>
      <c r="D26">
        <v>55.45</v>
      </c>
      <c r="E26">
        <v>0</v>
      </c>
      <c r="F26">
        <v>55.45</v>
      </c>
      <c r="G26">
        <v>52.13</v>
      </c>
      <c r="H26">
        <v>0</v>
      </c>
      <c r="I26">
        <v>52.13</v>
      </c>
      <c r="J26">
        <v>0.4</v>
      </c>
      <c r="L26">
        <v>1.2666666666666671</v>
      </c>
      <c r="M26">
        <v>71.900000000000006</v>
      </c>
      <c r="N26">
        <v>169603.67</v>
      </c>
      <c r="O26">
        <v>54724.12</v>
      </c>
      <c r="P26">
        <v>2149807978</v>
      </c>
      <c r="AC26">
        <v>336209.47</v>
      </c>
      <c r="AD26">
        <v>152603.84</v>
      </c>
      <c r="AE26">
        <v>183605.63</v>
      </c>
      <c r="AF26">
        <v>45489</v>
      </c>
      <c r="AG26">
        <v>15.28</v>
      </c>
      <c r="AK26">
        <v>1187.114468211942</v>
      </c>
      <c r="AL26">
        <f t="shared" si="0"/>
        <v>26096.736974036405</v>
      </c>
    </row>
    <row r="27" spans="1:38" x14ac:dyDescent="0.3">
      <c r="A27" t="s">
        <v>43</v>
      </c>
      <c r="B27" t="s">
        <v>44</v>
      </c>
      <c r="C27">
        <v>2016</v>
      </c>
      <c r="D27">
        <v>71.510000000000005</v>
      </c>
      <c r="E27">
        <v>1.69</v>
      </c>
      <c r="F27">
        <v>87.17</v>
      </c>
      <c r="G27">
        <v>71.22</v>
      </c>
      <c r="H27">
        <v>1.69</v>
      </c>
      <c r="I27">
        <v>87.01</v>
      </c>
      <c r="J27">
        <v>0</v>
      </c>
      <c r="L27">
        <v>9.9999999999999992E-2</v>
      </c>
      <c r="M27">
        <v>74.38</v>
      </c>
      <c r="N27">
        <v>133755.35999999999</v>
      </c>
      <c r="O27">
        <v>25250.04</v>
      </c>
      <c r="P27">
        <v>3163337669</v>
      </c>
      <c r="AC27">
        <v>607217.22</v>
      </c>
      <c r="AD27">
        <v>296607.68</v>
      </c>
      <c r="AE27">
        <v>310609.53999999998</v>
      </c>
      <c r="AF27">
        <v>54908</v>
      </c>
      <c r="AG27">
        <v>20.63</v>
      </c>
      <c r="AH27">
        <v>20.9</v>
      </c>
      <c r="AI27">
        <v>20.9</v>
      </c>
      <c r="AK27">
        <v>842.07418639431035</v>
      </c>
      <c r="AL27">
        <f t="shared" si="0"/>
        <v>15336.09285339678</v>
      </c>
    </row>
    <row r="28" spans="1:38" x14ac:dyDescent="0.3">
      <c r="A28" t="s">
        <v>45</v>
      </c>
      <c r="B28" t="s">
        <v>46</v>
      </c>
      <c r="C28">
        <v>2016</v>
      </c>
      <c r="D28">
        <v>0</v>
      </c>
      <c r="E28">
        <v>0</v>
      </c>
      <c r="F28">
        <v>0</v>
      </c>
      <c r="M28">
        <v>61.28</v>
      </c>
      <c r="N28">
        <v>273110.40000000002</v>
      </c>
      <c r="O28">
        <v>16265.35</v>
      </c>
      <c r="P28">
        <v>761323626</v>
      </c>
      <c r="AC28">
        <v>110380.13</v>
      </c>
      <c r="AD28">
        <v>109051.12</v>
      </c>
      <c r="AE28">
        <v>1329.01</v>
      </c>
      <c r="AF28">
        <v>4696</v>
      </c>
      <c r="AG28">
        <v>68.97</v>
      </c>
      <c r="AH28">
        <v>402.41</v>
      </c>
      <c r="AK28">
        <v>36.591167025316928</v>
      </c>
      <c r="AL28">
        <f t="shared" si="0"/>
        <v>7791.9861638238772</v>
      </c>
    </row>
    <row r="29" spans="1:38" x14ac:dyDescent="0.3">
      <c r="A29" t="s">
        <v>47</v>
      </c>
      <c r="B29" t="s">
        <v>48</v>
      </c>
      <c r="C29">
        <v>2016</v>
      </c>
      <c r="D29">
        <v>28.4</v>
      </c>
      <c r="E29">
        <v>67.040000000000006</v>
      </c>
      <c r="F29">
        <v>1.82</v>
      </c>
      <c r="G29">
        <v>28.4</v>
      </c>
      <c r="H29">
        <v>67.040000000000006</v>
      </c>
      <c r="I29">
        <v>1.82</v>
      </c>
      <c r="J29">
        <v>0.1</v>
      </c>
      <c r="M29">
        <v>47.23</v>
      </c>
      <c r="N29">
        <v>111447.83</v>
      </c>
      <c r="O29">
        <v>13260.47</v>
      </c>
      <c r="P29">
        <v>1278722037</v>
      </c>
      <c r="AC29">
        <v>270008.71999999997</v>
      </c>
      <c r="AD29">
        <v>219537.03</v>
      </c>
      <c r="AE29">
        <v>50471.69</v>
      </c>
      <c r="AF29">
        <v>13625</v>
      </c>
      <c r="AG29">
        <v>33.4</v>
      </c>
      <c r="AH29">
        <v>41.95</v>
      </c>
      <c r="AI29">
        <v>41.95</v>
      </c>
      <c r="AK29">
        <v>150.38052900884671</v>
      </c>
      <c r="AL29">
        <f t="shared" si="0"/>
        <v>11037.103046520859</v>
      </c>
    </row>
    <row r="30" spans="1:38" x14ac:dyDescent="0.3">
      <c r="A30" t="s">
        <v>49</v>
      </c>
      <c r="B30" t="s">
        <v>50</v>
      </c>
      <c r="C30">
        <v>2016</v>
      </c>
      <c r="D30">
        <v>20.010000000000002</v>
      </c>
      <c r="E30">
        <v>0</v>
      </c>
      <c r="F30">
        <v>99.97</v>
      </c>
      <c r="G30">
        <v>20.010000000000002</v>
      </c>
      <c r="H30">
        <v>0</v>
      </c>
      <c r="I30">
        <v>99.97</v>
      </c>
      <c r="J30">
        <v>3.9</v>
      </c>
      <c r="L30">
        <v>3.9</v>
      </c>
      <c r="M30">
        <v>71.760000000000005</v>
      </c>
      <c r="N30">
        <v>86798.66</v>
      </c>
      <c r="O30">
        <v>12325.56</v>
      </c>
      <c r="P30">
        <v>2993688280</v>
      </c>
      <c r="AC30">
        <v>489613.46</v>
      </c>
      <c r="AD30">
        <v>347716.12</v>
      </c>
      <c r="AE30">
        <v>141897.34</v>
      </c>
      <c r="AF30">
        <v>41016</v>
      </c>
      <c r="AG30">
        <v>23.39</v>
      </c>
      <c r="AH30">
        <v>12.68</v>
      </c>
      <c r="AI30">
        <v>12.68</v>
      </c>
      <c r="AK30">
        <v>434.53473621240562</v>
      </c>
      <c r="AL30">
        <f t="shared" si="0"/>
        <v>10594.273849532028</v>
      </c>
    </row>
    <row r="31" spans="1:38" x14ac:dyDescent="0.3">
      <c r="A31" t="s">
        <v>51</v>
      </c>
      <c r="B31" t="s">
        <v>52</v>
      </c>
      <c r="C31">
        <v>2016</v>
      </c>
      <c r="D31">
        <v>13.55</v>
      </c>
      <c r="E31">
        <v>0</v>
      </c>
      <c r="F31">
        <v>50.78</v>
      </c>
      <c r="G31">
        <v>13.55</v>
      </c>
      <c r="H31">
        <v>0</v>
      </c>
      <c r="I31">
        <v>50.78</v>
      </c>
      <c r="J31">
        <v>48.2</v>
      </c>
      <c r="L31">
        <v>48.2</v>
      </c>
      <c r="M31">
        <v>65.540000000000006</v>
      </c>
      <c r="N31">
        <v>71665.64</v>
      </c>
      <c r="O31">
        <v>11554.19</v>
      </c>
      <c r="P31">
        <v>1514397637</v>
      </c>
      <c r="AC31">
        <v>53035.94</v>
      </c>
      <c r="AD31">
        <v>45256.74</v>
      </c>
      <c r="AE31">
        <v>7779.2</v>
      </c>
      <c r="AF31">
        <v>19332</v>
      </c>
      <c r="AG31">
        <v>14.32</v>
      </c>
      <c r="AK31">
        <v>192.89367900794161</v>
      </c>
      <c r="AL31">
        <f t="shared" si="0"/>
        <v>9977.9473933344507</v>
      </c>
    </row>
    <row r="32" spans="1:38" x14ac:dyDescent="0.3">
      <c r="A32" t="s">
        <v>53</v>
      </c>
      <c r="B32" t="s">
        <v>54</v>
      </c>
      <c r="C32">
        <v>2016</v>
      </c>
      <c r="D32">
        <v>67.55</v>
      </c>
      <c r="E32">
        <v>65.67</v>
      </c>
      <c r="F32">
        <v>69.19</v>
      </c>
      <c r="G32">
        <v>16.32</v>
      </c>
      <c r="H32">
        <v>0</v>
      </c>
      <c r="I32">
        <v>30.53</v>
      </c>
      <c r="J32">
        <v>1</v>
      </c>
      <c r="K32">
        <v>3.2</v>
      </c>
      <c r="L32">
        <v>4.6333333333333337</v>
      </c>
      <c r="M32">
        <v>71.900000000000006</v>
      </c>
      <c r="N32">
        <v>121332.1</v>
      </c>
      <c r="O32">
        <v>39587.75</v>
      </c>
      <c r="P32">
        <v>6772898604</v>
      </c>
      <c r="AC32">
        <v>754058.82</v>
      </c>
      <c r="AD32">
        <v>398990.58</v>
      </c>
      <c r="AE32">
        <v>355068.24</v>
      </c>
      <c r="AF32">
        <v>120238</v>
      </c>
      <c r="AG32">
        <v>17.510000000000002</v>
      </c>
      <c r="AH32">
        <v>14.78</v>
      </c>
      <c r="AK32">
        <v>2197.260072973324</v>
      </c>
      <c r="AL32">
        <f t="shared" si="0"/>
        <v>18274.256665724013</v>
      </c>
    </row>
    <row r="33" spans="1:38" x14ac:dyDescent="0.3">
      <c r="A33" t="s">
        <v>55</v>
      </c>
      <c r="B33" t="s">
        <v>56</v>
      </c>
      <c r="C33">
        <v>2016</v>
      </c>
      <c r="D33">
        <v>63.38</v>
      </c>
      <c r="E33">
        <v>0</v>
      </c>
      <c r="F33">
        <v>68.34</v>
      </c>
      <c r="G33">
        <v>14.63</v>
      </c>
      <c r="H33">
        <v>0</v>
      </c>
      <c r="I33">
        <v>15.77</v>
      </c>
      <c r="M33">
        <v>59.53</v>
      </c>
      <c r="N33">
        <v>162144.98000000001</v>
      </c>
      <c r="O33">
        <v>20056.919999999998</v>
      </c>
      <c r="P33">
        <v>627728381</v>
      </c>
      <c r="AC33">
        <v>41453.919999999998</v>
      </c>
      <c r="AD33">
        <v>30581.93</v>
      </c>
      <c r="AE33">
        <v>10871.99</v>
      </c>
      <c r="AF33">
        <v>8842</v>
      </c>
      <c r="AG33">
        <v>68.97</v>
      </c>
      <c r="AH33">
        <v>339.56</v>
      </c>
      <c r="AK33">
        <v>57.372355035636787</v>
      </c>
      <c r="AL33">
        <f t="shared" si="0"/>
        <v>6488.6173982850923</v>
      </c>
    </row>
    <row r="34" spans="1:38" x14ac:dyDescent="0.3">
      <c r="A34" t="s">
        <v>57</v>
      </c>
      <c r="B34" t="s">
        <v>58</v>
      </c>
      <c r="C34">
        <v>2016</v>
      </c>
      <c r="D34">
        <v>25.88</v>
      </c>
      <c r="E34">
        <v>0</v>
      </c>
      <c r="F34">
        <v>68.45</v>
      </c>
      <c r="G34">
        <v>24.66</v>
      </c>
      <c r="H34">
        <v>0</v>
      </c>
      <c r="I34">
        <v>65.22</v>
      </c>
      <c r="J34">
        <v>0</v>
      </c>
      <c r="L34">
        <v>0</v>
      </c>
      <c r="M34">
        <v>66.87</v>
      </c>
      <c r="N34">
        <v>110014.87</v>
      </c>
      <c r="O34">
        <v>22812.9</v>
      </c>
      <c r="P34">
        <v>1727113371</v>
      </c>
      <c r="AC34">
        <v>88207.57</v>
      </c>
      <c r="AD34">
        <v>43758.95</v>
      </c>
      <c r="AE34">
        <v>44448.62</v>
      </c>
      <c r="AF34">
        <v>30106</v>
      </c>
      <c r="AG34">
        <v>18.11</v>
      </c>
      <c r="AH34">
        <v>25.97</v>
      </c>
      <c r="AK34">
        <v>272.97691611486158</v>
      </c>
      <c r="AL34">
        <f t="shared" si="0"/>
        <v>9067.1931214662054</v>
      </c>
    </row>
    <row r="35" spans="1:38" x14ac:dyDescent="0.3">
      <c r="A35" t="s">
        <v>37</v>
      </c>
      <c r="B35" t="s">
        <v>38</v>
      </c>
      <c r="C35">
        <v>2017</v>
      </c>
      <c r="D35">
        <v>56.09</v>
      </c>
      <c r="E35">
        <v>5.21</v>
      </c>
      <c r="F35">
        <v>66.89</v>
      </c>
      <c r="G35">
        <v>55.26</v>
      </c>
      <c r="H35">
        <v>0.5</v>
      </c>
      <c r="I35">
        <v>66.89</v>
      </c>
      <c r="J35">
        <v>0.2</v>
      </c>
      <c r="K35">
        <v>0</v>
      </c>
      <c r="L35">
        <v>0.66666666666666663</v>
      </c>
      <c r="M35">
        <v>73.87</v>
      </c>
      <c r="N35">
        <v>173655.89</v>
      </c>
      <c r="O35">
        <v>53784.23</v>
      </c>
      <c r="P35">
        <v>6775260597</v>
      </c>
      <c r="AC35">
        <v>1199874.29</v>
      </c>
      <c r="AD35">
        <v>600684.43999999994</v>
      </c>
      <c r="AE35">
        <v>599189.85</v>
      </c>
      <c r="AF35">
        <v>118064</v>
      </c>
      <c r="AG35">
        <v>14.17</v>
      </c>
      <c r="AI35">
        <v>8.59</v>
      </c>
      <c r="AJ35">
        <v>84.05</v>
      </c>
      <c r="AK35">
        <v>2213.6831131966142</v>
      </c>
      <c r="AL35">
        <f t="shared" si="0"/>
        <v>18749.856969072829</v>
      </c>
    </row>
    <row r="36" spans="1:38" x14ac:dyDescent="0.3">
      <c r="A36" t="s">
        <v>39</v>
      </c>
      <c r="B36" t="s">
        <v>40</v>
      </c>
      <c r="C36">
        <v>2017</v>
      </c>
      <c r="D36">
        <v>55.76</v>
      </c>
      <c r="E36">
        <v>0</v>
      </c>
      <c r="F36">
        <v>55.76</v>
      </c>
      <c r="G36">
        <v>24.59</v>
      </c>
      <c r="H36">
        <v>0</v>
      </c>
      <c r="I36">
        <v>24.59</v>
      </c>
      <c r="J36">
        <v>0.5</v>
      </c>
      <c r="L36">
        <v>0.5</v>
      </c>
      <c r="M36">
        <v>66.849999999999994</v>
      </c>
      <c r="N36">
        <v>78775.37</v>
      </c>
      <c r="O36">
        <v>13016.21</v>
      </c>
      <c r="P36">
        <v>2057610260</v>
      </c>
      <c r="AC36">
        <v>318802.26</v>
      </c>
      <c r="AD36">
        <v>276368.82</v>
      </c>
      <c r="AE36">
        <v>42433.440000000002</v>
      </c>
      <c r="AF36">
        <v>29045</v>
      </c>
      <c r="AG36">
        <v>16.91</v>
      </c>
      <c r="AJ36">
        <v>279.5</v>
      </c>
      <c r="AK36">
        <v>277.81504343936467</v>
      </c>
      <c r="AL36">
        <f t="shared" si="0"/>
        <v>9564.9868631215249</v>
      </c>
    </row>
    <row r="37" spans="1:38" x14ac:dyDescent="0.3">
      <c r="A37" t="s">
        <v>41</v>
      </c>
      <c r="B37" t="s">
        <v>42</v>
      </c>
      <c r="C37">
        <v>2017</v>
      </c>
      <c r="D37">
        <v>55.47</v>
      </c>
      <c r="E37">
        <v>0</v>
      </c>
      <c r="F37">
        <v>55.47</v>
      </c>
      <c r="G37">
        <v>52.18</v>
      </c>
      <c r="H37">
        <v>0</v>
      </c>
      <c r="I37">
        <v>52.18</v>
      </c>
      <c r="J37">
        <v>0.1</v>
      </c>
      <c r="L37">
        <v>2.5333333333333332</v>
      </c>
      <c r="M37">
        <v>70.400000000000006</v>
      </c>
      <c r="N37">
        <v>187499.62</v>
      </c>
      <c r="O37">
        <v>61541.97</v>
      </c>
      <c r="P37">
        <v>2165054446</v>
      </c>
      <c r="AC37">
        <v>336209.47</v>
      </c>
      <c r="AD37">
        <v>152603.84</v>
      </c>
      <c r="AE37">
        <v>183605.63</v>
      </c>
      <c r="AF37">
        <v>46629</v>
      </c>
      <c r="AG37">
        <v>18.600000000000001</v>
      </c>
      <c r="AJ37">
        <v>25.57</v>
      </c>
      <c r="AK37">
        <v>1009.626254059816</v>
      </c>
      <c r="AL37">
        <f t="shared" si="0"/>
        <v>21652.324820601258</v>
      </c>
    </row>
    <row r="38" spans="1:38" x14ac:dyDescent="0.3">
      <c r="A38" t="s">
        <v>43</v>
      </c>
      <c r="B38" t="s">
        <v>44</v>
      </c>
      <c r="C38">
        <v>2017</v>
      </c>
      <c r="D38">
        <v>71.41</v>
      </c>
      <c r="E38">
        <v>1.69</v>
      </c>
      <c r="F38">
        <v>86.96</v>
      </c>
      <c r="G38">
        <v>71.12</v>
      </c>
      <c r="H38">
        <v>1.69</v>
      </c>
      <c r="I38">
        <v>86.8</v>
      </c>
      <c r="J38">
        <v>0.1</v>
      </c>
      <c r="L38">
        <v>0.2</v>
      </c>
      <c r="M38">
        <v>76.08</v>
      </c>
      <c r="N38">
        <v>139876.18</v>
      </c>
      <c r="O38">
        <v>28133.94</v>
      </c>
      <c r="P38">
        <v>3560689071</v>
      </c>
      <c r="AC38">
        <v>607217.22</v>
      </c>
      <c r="AD38">
        <v>296607.68</v>
      </c>
      <c r="AE38">
        <v>310609.53999999998</v>
      </c>
      <c r="AF38">
        <v>56044</v>
      </c>
      <c r="AG38">
        <v>16.46</v>
      </c>
      <c r="AJ38">
        <v>25.62</v>
      </c>
      <c r="AK38">
        <v>824.0803874434265</v>
      </c>
      <c r="AL38">
        <f t="shared" si="0"/>
        <v>14704.167929545118</v>
      </c>
    </row>
    <row r="39" spans="1:38" x14ac:dyDescent="0.3">
      <c r="A39" t="s">
        <v>45</v>
      </c>
      <c r="B39" t="s">
        <v>46</v>
      </c>
      <c r="C39">
        <v>2017</v>
      </c>
      <c r="D39">
        <v>0</v>
      </c>
      <c r="E39">
        <v>0</v>
      </c>
      <c r="F39">
        <v>0</v>
      </c>
      <c r="M39">
        <v>62.33</v>
      </c>
      <c r="N39">
        <v>302005.13</v>
      </c>
      <c r="O39">
        <v>14378.83</v>
      </c>
      <c r="P39">
        <v>856489046</v>
      </c>
      <c r="AC39">
        <v>110380.13</v>
      </c>
      <c r="AD39">
        <v>109051.12</v>
      </c>
      <c r="AE39">
        <v>1329.01</v>
      </c>
      <c r="AF39">
        <v>4808</v>
      </c>
      <c r="AG39">
        <v>52.63</v>
      </c>
      <c r="AJ39">
        <v>0</v>
      </c>
      <c r="AK39">
        <v>38.443094531446107</v>
      </c>
      <c r="AL39">
        <f t="shared" si="0"/>
        <v>7995.6519408165786</v>
      </c>
    </row>
    <row r="40" spans="1:38" x14ac:dyDescent="0.3">
      <c r="A40" t="s">
        <v>47</v>
      </c>
      <c r="B40" t="s">
        <v>48</v>
      </c>
      <c r="C40">
        <v>2017</v>
      </c>
      <c r="D40">
        <v>28.4</v>
      </c>
      <c r="E40">
        <v>30.81</v>
      </c>
      <c r="F40">
        <v>21.27</v>
      </c>
      <c r="G40">
        <v>28.4</v>
      </c>
      <c r="H40">
        <v>30.81</v>
      </c>
      <c r="I40">
        <v>21.27</v>
      </c>
      <c r="J40">
        <v>0</v>
      </c>
      <c r="M40">
        <v>62.45</v>
      </c>
      <c r="N40">
        <v>96628.46</v>
      </c>
      <c r="O40">
        <v>10463.09</v>
      </c>
      <c r="P40">
        <v>1500292258</v>
      </c>
      <c r="AC40">
        <v>270008.71999999997</v>
      </c>
      <c r="AD40">
        <v>219537.03</v>
      </c>
      <c r="AE40">
        <v>50471.69</v>
      </c>
      <c r="AF40">
        <v>13778</v>
      </c>
      <c r="AG40">
        <v>18.12</v>
      </c>
      <c r="AI40">
        <v>41.24</v>
      </c>
      <c r="AJ40">
        <v>17.3</v>
      </c>
      <c r="AK40">
        <v>169.3082086808362</v>
      </c>
      <c r="AL40">
        <f t="shared" si="0"/>
        <v>12288.300818757163</v>
      </c>
    </row>
    <row r="41" spans="1:38" x14ac:dyDescent="0.3">
      <c r="A41" t="s">
        <v>49</v>
      </c>
      <c r="B41" t="s">
        <v>50</v>
      </c>
      <c r="C41">
        <v>2017</v>
      </c>
      <c r="D41">
        <v>20.87</v>
      </c>
      <c r="E41">
        <v>0.83</v>
      </c>
      <c r="F41">
        <v>74.260000000000005</v>
      </c>
      <c r="G41">
        <v>20.87</v>
      </c>
      <c r="H41">
        <v>0.83</v>
      </c>
      <c r="I41">
        <v>74.260000000000005</v>
      </c>
      <c r="J41">
        <v>3.8</v>
      </c>
      <c r="L41">
        <v>3.8</v>
      </c>
      <c r="M41">
        <v>72.319999999999993</v>
      </c>
      <c r="N41">
        <v>88693.34</v>
      </c>
      <c r="O41">
        <v>9953.23</v>
      </c>
      <c r="P41">
        <v>3370792535</v>
      </c>
      <c r="AC41">
        <v>489613.46</v>
      </c>
      <c r="AD41">
        <v>347716.12</v>
      </c>
      <c r="AE41">
        <v>141897.34</v>
      </c>
      <c r="AF41">
        <v>41526</v>
      </c>
      <c r="AG41">
        <v>18.579999999999998</v>
      </c>
      <c r="AK41">
        <v>456.88370970210599</v>
      </c>
      <c r="AL41">
        <f t="shared" si="0"/>
        <v>11002.352976499204</v>
      </c>
    </row>
    <row r="42" spans="1:38" x14ac:dyDescent="0.3">
      <c r="A42" t="s">
        <v>51</v>
      </c>
      <c r="B42" t="s">
        <v>52</v>
      </c>
      <c r="C42">
        <v>2017</v>
      </c>
      <c r="D42">
        <v>13.55</v>
      </c>
      <c r="E42">
        <v>0</v>
      </c>
      <c r="F42">
        <v>50.78</v>
      </c>
      <c r="G42">
        <v>13.55</v>
      </c>
      <c r="H42">
        <v>0</v>
      </c>
      <c r="I42">
        <v>50.78</v>
      </c>
      <c r="J42">
        <v>15.7</v>
      </c>
      <c r="L42">
        <v>14.1</v>
      </c>
      <c r="M42">
        <v>68.48</v>
      </c>
      <c r="N42">
        <v>85079.43</v>
      </c>
      <c r="O42">
        <v>10101.540000000001</v>
      </c>
      <c r="P42">
        <v>1645788048</v>
      </c>
      <c r="AC42">
        <v>53035.94</v>
      </c>
      <c r="AD42">
        <v>45256.74</v>
      </c>
      <c r="AE42">
        <v>7779.2</v>
      </c>
      <c r="AF42">
        <v>19687</v>
      </c>
      <c r="AG42">
        <v>17.07</v>
      </c>
      <c r="AJ42">
        <v>822.41</v>
      </c>
      <c r="AK42">
        <v>188.9162475058574</v>
      </c>
      <c r="AL42">
        <f t="shared" si="0"/>
        <v>9595.9896127321281</v>
      </c>
    </row>
    <row r="43" spans="1:38" x14ac:dyDescent="0.3">
      <c r="A43" t="s">
        <v>53</v>
      </c>
      <c r="B43" t="s">
        <v>54</v>
      </c>
      <c r="C43">
        <v>2017</v>
      </c>
      <c r="D43">
        <v>61.19</v>
      </c>
      <c r="E43">
        <v>53.27</v>
      </c>
      <c r="F43">
        <v>68.930000000000007</v>
      </c>
      <c r="G43">
        <v>15.11</v>
      </c>
      <c r="H43">
        <v>0.06</v>
      </c>
      <c r="I43">
        <v>29.83</v>
      </c>
      <c r="J43">
        <v>0.7</v>
      </c>
      <c r="K43">
        <v>0.7</v>
      </c>
      <c r="L43">
        <v>3.2666666666666671</v>
      </c>
      <c r="M43">
        <v>70.53</v>
      </c>
      <c r="N43">
        <v>133195.6</v>
      </c>
      <c r="O43">
        <v>44529.69</v>
      </c>
      <c r="P43">
        <v>7774175194</v>
      </c>
      <c r="AC43">
        <v>754058.82</v>
      </c>
      <c r="AD43">
        <v>398990.58</v>
      </c>
      <c r="AE43">
        <v>355068.24</v>
      </c>
      <c r="AF43">
        <v>122168</v>
      </c>
      <c r="AG43">
        <v>13.72</v>
      </c>
      <c r="AH43">
        <v>4.8099999999999996</v>
      </c>
      <c r="AJ43">
        <v>19.66</v>
      </c>
      <c r="AK43">
        <v>2081.6339976738282</v>
      </c>
      <c r="AL43">
        <f t="shared" si="0"/>
        <v>17039.110058884715</v>
      </c>
    </row>
    <row r="44" spans="1:38" x14ac:dyDescent="0.3">
      <c r="A44" t="s">
        <v>55</v>
      </c>
      <c r="B44" t="s">
        <v>56</v>
      </c>
      <c r="C44">
        <v>2017</v>
      </c>
      <c r="D44">
        <v>63.38</v>
      </c>
      <c r="E44">
        <v>0</v>
      </c>
      <c r="F44">
        <v>68.34</v>
      </c>
      <c r="G44">
        <v>14.63</v>
      </c>
      <c r="H44">
        <v>0</v>
      </c>
      <c r="I44">
        <v>15.77</v>
      </c>
      <c r="M44">
        <v>63.85</v>
      </c>
      <c r="N44">
        <v>221786.26</v>
      </c>
      <c r="O44">
        <v>15682.1</v>
      </c>
      <c r="P44">
        <v>692984789</v>
      </c>
      <c r="AC44">
        <v>41453.919999999998</v>
      </c>
      <c r="AD44">
        <v>30581.93</v>
      </c>
      <c r="AE44">
        <v>10871.99</v>
      </c>
      <c r="AF44">
        <v>8962</v>
      </c>
      <c r="AG44">
        <v>7.75</v>
      </c>
      <c r="AJ44">
        <v>190.02</v>
      </c>
      <c r="AK44">
        <v>61.850105641358063</v>
      </c>
      <c r="AL44">
        <f t="shared" si="0"/>
        <v>6901.3730909794758</v>
      </c>
    </row>
    <row r="45" spans="1:38" x14ac:dyDescent="0.3">
      <c r="A45" t="s">
        <v>57</v>
      </c>
      <c r="B45" t="s">
        <v>58</v>
      </c>
      <c r="C45">
        <v>2017</v>
      </c>
      <c r="D45">
        <v>25.88</v>
      </c>
      <c r="E45">
        <v>0</v>
      </c>
      <c r="F45">
        <v>68.45</v>
      </c>
      <c r="G45">
        <v>24.66</v>
      </c>
      <c r="H45">
        <v>0</v>
      </c>
      <c r="I45">
        <v>65.22</v>
      </c>
      <c r="J45">
        <v>2.9</v>
      </c>
      <c r="L45">
        <v>2.9</v>
      </c>
      <c r="M45">
        <v>68.290000000000006</v>
      </c>
      <c r="N45">
        <v>139048.68</v>
      </c>
      <c r="O45">
        <v>24725.53</v>
      </c>
      <c r="P45">
        <v>1892060104</v>
      </c>
      <c r="AC45">
        <v>88207.57</v>
      </c>
      <c r="AD45">
        <v>43758.95</v>
      </c>
      <c r="AE45">
        <v>44448.62</v>
      </c>
      <c r="AF45">
        <v>30431</v>
      </c>
      <c r="AG45">
        <v>11.76</v>
      </c>
      <c r="AJ45">
        <v>171.86</v>
      </c>
      <c r="AK45">
        <v>268.99058979772821</v>
      </c>
      <c r="AL45">
        <f t="shared" si="0"/>
        <v>8839.3608424872073</v>
      </c>
    </row>
    <row r="46" spans="1:38" x14ac:dyDescent="0.3">
      <c r="A46" t="s">
        <v>37</v>
      </c>
      <c r="B46" t="s">
        <v>38</v>
      </c>
      <c r="C46">
        <v>2018</v>
      </c>
      <c r="D46">
        <v>70.344999999999999</v>
      </c>
      <c r="E46">
        <v>25.085000000000001</v>
      </c>
      <c r="F46">
        <v>78.64</v>
      </c>
      <c r="G46">
        <v>69.569999999999993</v>
      </c>
      <c r="H46">
        <v>19.934999999999999</v>
      </c>
      <c r="I46">
        <v>78.64</v>
      </c>
      <c r="J46">
        <v>0.8</v>
      </c>
      <c r="K46">
        <v>0</v>
      </c>
      <c r="L46">
        <v>1</v>
      </c>
      <c r="M46">
        <v>72.78</v>
      </c>
      <c r="N46">
        <v>174480.38</v>
      </c>
      <c r="O46">
        <v>63419.34</v>
      </c>
      <c r="P46">
        <v>6843053112</v>
      </c>
      <c r="AC46">
        <v>1141917.08</v>
      </c>
      <c r="AD46">
        <v>489400.75</v>
      </c>
      <c r="AE46">
        <v>652516.31000000006</v>
      </c>
      <c r="AF46">
        <v>121014</v>
      </c>
      <c r="AG46">
        <v>12.67</v>
      </c>
      <c r="AI46">
        <v>4.18</v>
      </c>
      <c r="AJ46">
        <v>228.56</v>
      </c>
      <c r="AK46">
        <v>2276.8422551834901</v>
      </c>
      <c r="AL46">
        <f t="shared" si="0"/>
        <v>18814.701234431472</v>
      </c>
    </row>
    <row r="47" spans="1:38" x14ac:dyDescent="0.3">
      <c r="A47" t="s">
        <v>39</v>
      </c>
      <c r="B47" t="s">
        <v>40</v>
      </c>
      <c r="C47">
        <v>2018</v>
      </c>
      <c r="D47">
        <v>58.36</v>
      </c>
      <c r="E47">
        <v>0</v>
      </c>
      <c r="F47">
        <v>58.36</v>
      </c>
      <c r="G47">
        <v>23.14</v>
      </c>
      <c r="H47">
        <v>0</v>
      </c>
      <c r="I47">
        <v>23.14</v>
      </c>
      <c r="J47">
        <v>1.9</v>
      </c>
      <c r="L47">
        <v>1.9</v>
      </c>
      <c r="M47">
        <v>66.86</v>
      </c>
      <c r="N47">
        <v>76790.66</v>
      </c>
      <c r="O47">
        <v>12513.07</v>
      </c>
      <c r="P47">
        <v>2141104612</v>
      </c>
      <c r="AC47">
        <v>294391.435</v>
      </c>
      <c r="AD47">
        <v>249475.255</v>
      </c>
      <c r="AE47">
        <v>44916.18</v>
      </c>
      <c r="AF47">
        <v>29307</v>
      </c>
      <c r="AG47">
        <v>20.79</v>
      </c>
      <c r="AI47">
        <v>18.75</v>
      </c>
      <c r="AJ47">
        <v>521.42999999999995</v>
      </c>
      <c r="AK47">
        <v>277.7762505324846</v>
      </c>
      <c r="AL47">
        <f t="shared" si="0"/>
        <v>9478.1537015895374</v>
      </c>
    </row>
    <row r="48" spans="1:38" x14ac:dyDescent="0.3">
      <c r="A48" t="s">
        <v>41</v>
      </c>
      <c r="B48" t="s">
        <v>42</v>
      </c>
      <c r="C48">
        <v>2018</v>
      </c>
      <c r="D48">
        <v>57.28</v>
      </c>
      <c r="E48">
        <v>0</v>
      </c>
      <c r="F48">
        <v>57.28</v>
      </c>
      <c r="G48">
        <v>54.13</v>
      </c>
      <c r="H48">
        <v>0</v>
      </c>
      <c r="I48">
        <v>54.13</v>
      </c>
      <c r="J48">
        <v>3.8</v>
      </c>
      <c r="L48">
        <v>3.8</v>
      </c>
      <c r="M48">
        <v>71.84</v>
      </c>
      <c r="N48">
        <v>203456.42</v>
      </c>
      <c r="O48">
        <v>65568.09</v>
      </c>
      <c r="P48">
        <v>2094164067</v>
      </c>
      <c r="AC48">
        <v>345738.29499999998</v>
      </c>
      <c r="AD48">
        <v>155891.535</v>
      </c>
      <c r="AE48">
        <v>189846.75</v>
      </c>
      <c r="AF48">
        <v>47923</v>
      </c>
      <c r="AG48">
        <v>11.69</v>
      </c>
      <c r="AJ48">
        <v>197.73</v>
      </c>
      <c r="AK48">
        <v>1041.34048717735</v>
      </c>
      <c r="AL48">
        <f t="shared" si="0"/>
        <v>21729.45114407174</v>
      </c>
    </row>
    <row r="49" spans="1:38" x14ac:dyDescent="0.3">
      <c r="A49" t="s">
        <v>43</v>
      </c>
      <c r="B49" t="s">
        <v>44</v>
      </c>
      <c r="C49">
        <v>2018</v>
      </c>
      <c r="D49">
        <v>71.41</v>
      </c>
      <c r="E49">
        <v>1.66</v>
      </c>
      <c r="F49">
        <v>87.45</v>
      </c>
      <c r="G49">
        <v>71.11</v>
      </c>
      <c r="H49">
        <v>1.66</v>
      </c>
      <c r="I49">
        <v>87.29</v>
      </c>
      <c r="J49">
        <v>0.3</v>
      </c>
      <c r="L49">
        <v>0.3</v>
      </c>
      <c r="M49">
        <v>73.52</v>
      </c>
      <c r="N49">
        <v>134514.14000000001</v>
      </c>
      <c r="O49">
        <v>27953.18</v>
      </c>
      <c r="P49">
        <v>3635123146</v>
      </c>
      <c r="AC49">
        <v>623607.68999999994</v>
      </c>
      <c r="AD49">
        <v>302070.76</v>
      </c>
      <c r="AE49">
        <v>321536.93</v>
      </c>
      <c r="AF49">
        <v>57380</v>
      </c>
      <c r="AG49">
        <v>14.45</v>
      </c>
      <c r="AH49">
        <v>20.09</v>
      </c>
      <c r="AJ49">
        <v>185.68</v>
      </c>
      <c r="AK49">
        <v>854.7459645051789</v>
      </c>
      <c r="AL49">
        <f t="shared" si="0"/>
        <v>14896.235003575792</v>
      </c>
    </row>
    <row r="50" spans="1:38" x14ac:dyDescent="0.3">
      <c r="A50" t="s">
        <v>45</v>
      </c>
      <c r="B50" t="s">
        <v>46</v>
      </c>
      <c r="C50">
        <v>2018</v>
      </c>
      <c r="D50">
        <v>0</v>
      </c>
      <c r="E50">
        <v>0</v>
      </c>
      <c r="F50">
        <v>0</v>
      </c>
      <c r="M50">
        <v>60.53</v>
      </c>
      <c r="N50">
        <v>337379.28</v>
      </c>
      <c r="O50">
        <v>16427.07</v>
      </c>
      <c r="P50">
        <v>851899470</v>
      </c>
      <c r="AC50">
        <v>113524.61500000001</v>
      </c>
      <c r="AD50">
        <v>112155.14</v>
      </c>
      <c r="AE50">
        <v>1369.4749999999999</v>
      </c>
      <c r="AF50">
        <v>4902</v>
      </c>
      <c r="AG50">
        <v>11.24</v>
      </c>
      <c r="AJ50">
        <v>210.53</v>
      </c>
      <c r="AK50">
        <v>37.657050876559232</v>
      </c>
      <c r="AL50">
        <f t="shared" si="0"/>
        <v>7681.9769230026996</v>
      </c>
    </row>
    <row r="51" spans="1:38" x14ac:dyDescent="0.3">
      <c r="A51" t="s">
        <v>47</v>
      </c>
      <c r="B51" t="s">
        <v>48</v>
      </c>
      <c r="C51">
        <v>2018</v>
      </c>
      <c r="D51">
        <v>28.38</v>
      </c>
      <c r="E51">
        <v>33.58</v>
      </c>
      <c r="F51">
        <v>11.07</v>
      </c>
      <c r="G51">
        <v>28.38</v>
      </c>
      <c r="H51">
        <v>33.58</v>
      </c>
      <c r="I51">
        <v>11.07</v>
      </c>
      <c r="J51">
        <v>0.6</v>
      </c>
      <c r="K51">
        <v>0.6</v>
      </c>
      <c r="M51">
        <v>69.84</v>
      </c>
      <c r="N51">
        <v>136186.67000000001</v>
      </c>
      <c r="O51">
        <v>17685.97</v>
      </c>
      <c r="P51">
        <v>1492173751</v>
      </c>
      <c r="AC51">
        <v>275686.05</v>
      </c>
      <c r="AD51">
        <v>223676.03</v>
      </c>
      <c r="AE51">
        <v>52010.014999999999</v>
      </c>
      <c r="AF51">
        <v>13991</v>
      </c>
      <c r="AG51">
        <v>18.52</v>
      </c>
      <c r="AH51">
        <v>40.520000000000003</v>
      </c>
      <c r="AI51">
        <v>81.040000000000006</v>
      </c>
      <c r="AJ51">
        <v>473.77</v>
      </c>
      <c r="AK51">
        <v>210.01647175168611</v>
      </c>
      <c r="AL51">
        <f t="shared" si="0"/>
        <v>15010.826370644423</v>
      </c>
    </row>
    <row r="52" spans="1:38" x14ac:dyDescent="0.3">
      <c r="A52" t="s">
        <v>49</v>
      </c>
      <c r="B52" t="s">
        <v>50</v>
      </c>
      <c r="C52">
        <v>2018</v>
      </c>
      <c r="D52">
        <v>23.1</v>
      </c>
      <c r="E52">
        <v>1.02</v>
      </c>
      <c r="F52">
        <v>65.540000000000006</v>
      </c>
      <c r="G52">
        <v>23.1</v>
      </c>
      <c r="H52">
        <v>1.02</v>
      </c>
      <c r="I52">
        <v>65.540000000000006</v>
      </c>
      <c r="J52">
        <v>3.6</v>
      </c>
      <c r="L52">
        <v>3.6</v>
      </c>
      <c r="M52">
        <v>72.39</v>
      </c>
      <c r="N52">
        <v>103456.34</v>
      </c>
      <c r="O52">
        <v>12719.1</v>
      </c>
      <c r="P52">
        <v>3361814320</v>
      </c>
      <c r="AC52">
        <v>501040.53</v>
      </c>
      <c r="AD52">
        <v>353986.01500000001</v>
      </c>
      <c r="AE52">
        <v>147054.505</v>
      </c>
      <c r="AF52">
        <v>42279</v>
      </c>
      <c r="AG52">
        <v>16.739999999999998</v>
      </c>
      <c r="AH52">
        <v>12.13</v>
      </c>
      <c r="AI52">
        <v>12.13</v>
      </c>
      <c r="AK52">
        <v>463.9495105971389</v>
      </c>
      <c r="AL52">
        <f t="shared" si="0"/>
        <v>10973.521384071026</v>
      </c>
    </row>
    <row r="53" spans="1:38" x14ac:dyDescent="0.3">
      <c r="A53" t="s">
        <v>51</v>
      </c>
      <c r="B53" t="s">
        <v>52</v>
      </c>
      <c r="C53">
        <v>2018</v>
      </c>
      <c r="D53">
        <v>13.55</v>
      </c>
      <c r="E53">
        <v>0</v>
      </c>
      <c r="F53">
        <v>50.78</v>
      </c>
      <c r="G53">
        <v>13.55</v>
      </c>
      <c r="H53">
        <v>0</v>
      </c>
      <c r="I53">
        <v>50.78</v>
      </c>
      <c r="J53">
        <v>12.2</v>
      </c>
      <c r="L53">
        <v>12.2</v>
      </c>
      <c r="M53">
        <v>68.11</v>
      </c>
      <c r="N53">
        <v>94327.55</v>
      </c>
      <c r="O53">
        <v>11615.18</v>
      </c>
      <c r="P53">
        <v>1639516528</v>
      </c>
      <c r="AC53">
        <v>54267.725000000013</v>
      </c>
      <c r="AD53">
        <v>46142.584999999999</v>
      </c>
      <c r="AE53">
        <v>8125.1350000000002</v>
      </c>
      <c r="AF53">
        <v>20085</v>
      </c>
      <c r="AG53">
        <v>7.25</v>
      </c>
      <c r="AJ53">
        <v>700.36</v>
      </c>
      <c r="AK53">
        <v>196.73296437278171</v>
      </c>
      <c r="AL53">
        <f t="shared" si="0"/>
        <v>9795.0193862475335</v>
      </c>
    </row>
    <row r="54" spans="1:38" x14ac:dyDescent="0.3">
      <c r="A54" t="s">
        <v>53</v>
      </c>
      <c r="B54" t="s">
        <v>54</v>
      </c>
      <c r="C54">
        <v>2018</v>
      </c>
      <c r="D54">
        <v>33.47</v>
      </c>
      <c r="E54">
        <v>35.07</v>
      </c>
      <c r="F54">
        <v>31.39</v>
      </c>
      <c r="G54">
        <v>7.59</v>
      </c>
      <c r="H54">
        <v>1.95</v>
      </c>
      <c r="I54">
        <v>14.97</v>
      </c>
      <c r="J54">
        <v>1.8</v>
      </c>
      <c r="K54">
        <v>1.6</v>
      </c>
      <c r="L54">
        <v>1.9</v>
      </c>
      <c r="M54">
        <v>70.8</v>
      </c>
      <c r="N54">
        <v>134681.38</v>
      </c>
      <c r="O54">
        <v>48975.98</v>
      </c>
      <c r="P54">
        <v>8352605350</v>
      </c>
      <c r="AC54">
        <v>794641.58</v>
      </c>
      <c r="AD54">
        <v>408583.72</v>
      </c>
      <c r="AE54">
        <v>386057.86</v>
      </c>
      <c r="AF54">
        <v>124559</v>
      </c>
      <c r="AG54">
        <v>14.3</v>
      </c>
      <c r="AJ54">
        <v>350.67</v>
      </c>
      <c r="AK54">
        <v>2163.1026606151622</v>
      </c>
      <c r="AL54">
        <f t="shared" si="0"/>
        <v>17366.088846371294</v>
      </c>
    </row>
    <row r="55" spans="1:38" x14ac:dyDescent="0.3">
      <c r="A55" t="s">
        <v>55</v>
      </c>
      <c r="B55" t="s">
        <v>56</v>
      </c>
      <c r="C55">
        <v>2018</v>
      </c>
      <c r="E55">
        <v>0</v>
      </c>
      <c r="H55">
        <v>0</v>
      </c>
      <c r="M55">
        <v>62.85</v>
      </c>
      <c r="N55">
        <v>297823.5</v>
      </c>
      <c r="O55">
        <v>24115.25</v>
      </c>
      <c r="P55">
        <v>694374941</v>
      </c>
      <c r="AC55">
        <v>92007.88</v>
      </c>
      <c r="AD55">
        <v>80793.649999999994</v>
      </c>
      <c r="AE55">
        <v>11214.225</v>
      </c>
      <c r="AF55">
        <v>9089</v>
      </c>
      <c r="AG55">
        <v>16.809999999999999</v>
      </c>
      <c r="AJ55">
        <v>237.87</v>
      </c>
      <c r="AK55">
        <v>67.240361623794271</v>
      </c>
      <c r="AL55">
        <f t="shared" si="0"/>
        <v>7397.9933572223863</v>
      </c>
    </row>
    <row r="56" spans="1:38" x14ac:dyDescent="0.3">
      <c r="A56" t="s">
        <v>57</v>
      </c>
      <c r="B56" t="s">
        <v>58</v>
      </c>
      <c r="C56">
        <v>2018</v>
      </c>
      <c r="D56">
        <v>25.88</v>
      </c>
      <c r="E56">
        <v>0</v>
      </c>
      <c r="F56">
        <v>68.45</v>
      </c>
      <c r="G56">
        <v>24.66</v>
      </c>
      <c r="H56">
        <v>0</v>
      </c>
      <c r="I56">
        <v>65.22</v>
      </c>
      <c r="J56">
        <v>1.4</v>
      </c>
      <c r="L56">
        <v>1.4</v>
      </c>
      <c r="M56">
        <v>67.64</v>
      </c>
      <c r="N56">
        <v>106525.08</v>
      </c>
      <c r="O56">
        <v>18821.48</v>
      </c>
      <c r="P56">
        <v>1843584805</v>
      </c>
      <c r="AC56">
        <v>92071.635000000009</v>
      </c>
      <c r="AD56">
        <v>44805.134999999987</v>
      </c>
      <c r="AE56">
        <v>47266.5</v>
      </c>
      <c r="AF56">
        <v>30934</v>
      </c>
      <c r="AG56">
        <v>14.11</v>
      </c>
      <c r="AK56">
        <v>257.6489867798162</v>
      </c>
      <c r="AL56">
        <f t="shared" si="0"/>
        <v>8328.990327142179</v>
      </c>
    </row>
    <row r="57" spans="1:38" x14ac:dyDescent="0.3">
      <c r="A57" t="s">
        <v>37</v>
      </c>
      <c r="B57" t="s">
        <v>38</v>
      </c>
      <c r="C57">
        <v>2019</v>
      </c>
      <c r="D57">
        <v>84.6</v>
      </c>
      <c r="E57">
        <v>44.96</v>
      </c>
      <c r="F57">
        <v>90.39</v>
      </c>
      <c r="G57">
        <v>83.88</v>
      </c>
      <c r="H57">
        <v>39.369999999999997</v>
      </c>
      <c r="I57">
        <v>90.39</v>
      </c>
      <c r="J57">
        <v>0.5</v>
      </c>
      <c r="K57">
        <v>0</v>
      </c>
      <c r="L57">
        <v>0.7</v>
      </c>
      <c r="M57">
        <v>76</v>
      </c>
      <c r="N57">
        <v>349216.91</v>
      </c>
      <c r="O57">
        <v>113488.23</v>
      </c>
      <c r="P57">
        <v>7567510792</v>
      </c>
      <c r="AC57">
        <v>1083959.8700000001</v>
      </c>
      <c r="AD57">
        <v>378117.06</v>
      </c>
      <c r="AE57">
        <v>705842.77</v>
      </c>
      <c r="AF57">
        <v>121255</v>
      </c>
      <c r="AG57">
        <v>15.81</v>
      </c>
      <c r="AI57">
        <v>8.8000000000000007</v>
      </c>
      <c r="AJ57">
        <v>317.39</v>
      </c>
      <c r="AK57">
        <v>2289.7191154687471</v>
      </c>
      <c r="AL57">
        <f t="shared" si="0"/>
        <v>18883.502663549934</v>
      </c>
    </row>
    <row r="58" spans="1:38" x14ac:dyDescent="0.3">
      <c r="A58" t="s">
        <v>39</v>
      </c>
      <c r="B58" t="s">
        <v>40</v>
      </c>
      <c r="C58">
        <v>2019</v>
      </c>
      <c r="D58">
        <v>58.4</v>
      </c>
      <c r="E58">
        <v>0</v>
      </c>
      <c r="F58">
        <v>58.4</v>
      </c>
      <c r="G58">
        <v>23.68</v>
      </c>
      <c r="H58">
        <v>0</v>
      </c>
      <c r="I58">
        <v>23.68</v>
      </c>
      <c r="J58">
        <v>2.4</v>
      </c>
      <c r="L58">
        <v>2.4</v>
      </c>
      <c r="M58">
        <v>69</v>
      </c>
      <c r="N58">
        <v>166182.76999999999</v>
      </c>
      <c r="O58">
        <v>24128.34</v>
      </c>
      <c r="P58">
        <v>2315287067</v>
      </c>
      <c r="AC58">
        <v>269980.61</v>
      </c>
      <c r="AD58">
        <v>222581.69</v>
      </c>
      <c r="AE58">
        <v>47398.92</v>
      </c>
      <c r="AF58">
        <v>29738</v>
      </c>
      <c r="AG58">
        <v>12</v>
      </c>
      <c r="AI58">
        <v>30.95</v>
      </c>
      <c r="AJ58">
        <v>153.08000000000001</v>
      </c>
      <c r="AK58">
        <v>265.44662433005072</v>
      </c>
      <c r="AL58">
        <f t="shared" si="0"/>
        <v>8926.1760821188636</v>
      </c>
    </row>
    <row r="59" spans="1:38" x14ac:dyDescent="0.3">
      <c r="A59" t="s">
        <v>41</v>
      </c>
      <c r="B59" t="s">
        <v>42</v>
      </c>
      <c r="C59">
        <v>2019</v>
      </c>
      <c r="D59">
        <v>75.150000000000006</v>
      </c>
      <c r="E59">
        <v>30.88</v>
      </c>
      <c r="F59">
        <v>92.43</v>
      </c>
      <c r="G59">
        <v>75.150000000000006</v>
      </c>
      <c r="H59">
        <v>30.89</v>
      </c>
      <c r="I59">
        <v>92.43</v>
      </c>
      <c r="J59">
        <v>1.1000000000000001</v>
      </c>
      <c r="L59">
        <v>1.1000000000000001</v>
      </c>
      <c r="M59">
        <v>72</v>
      </c>
      <c r="N59">
        <v>257900.39</v>
      </c>
      <c r="O59">
        <v>86860.98</v>
      </c>
      <c r="P59">
        <v>2299233941</v>
      </c>
      <c r="AC59">
        <v>355267.12</v>
      </c>
      <c r="AD59">
        <v>159179.23000000001</v>
      </c>
      <c r="AE59">
        <v>196087.87</v>
      </c>
      <c r="AF59">
        <v>48374</v>
      </c>
      <c r="AG59">
        <v>16.97</v>
      </c>
      <c r="AH59">
        <v>20.59</v>
      </c>
      <c r="AI59">
        <v>20.59</v>
      </c>
      <c r="AJ59">
        <v>200.19</v>
      </c>
      <c r="AK59">
        <v>1068.04203144454</v>
      </c>
      <c r="AL59">
        <f t="shared" si="0"/>
        <v>22078.844657141024</v>
      </c>
    </row>
    <row r="60" spans="1:38" x14ac:dyDescent="0.3">
      <c r="A60" t="s">
        <v>43</v>
      </c>
      <c r="B60" t="s">
        <v>44</v>
      </c>
      <c r="C60">
        <v>2019</v>
      </c>
      <c r="D60">
        <v>71.8</v>
      </c>
      <c r="E60">
        <v>1.66</v>
      </c>
      <c r="F60">
        <v>87.66</v>
      </c>
      <c r="G60">
        <v>71.510000000000005</v>
      </c>
      <c r="H60">
        <v>1.66</v>
      </c>
      <c r="I60">
        <v>87.5</v>
      </c>
      <c r="J60">
        <v>0</v>
      </c>
      <c r="L60">
        <v>0</v>
      </c>
      <c r="M60">
        <v>73</v>
      </c>
      <c r="N60">
        <v>193680.38</v>
      </c>
      <c r="O60">
        <v>47870.77</v>
      </c>
      <c r="P60">
        <v>4141368046</v>
      </c>
      <c r="AC60">
        <v>639998.16</v>
      </c>
      <c r="AD60">
        <v>307533.84000000003</v>
      </c>
      <c r="AE60">
        <v>332464.32</v>
      </c>
      <c r="AF60">
        <v>57144</v>
      </c>
      <c r="AG60">
        <v>16.45</v>
      </c>
      <c r="AJ60">
        <v>183.61</v>
      </c>
      <c r="AK60">
        <v>825.37628912292405</v>
      </c>
      <c r="AL60">
        <f t="shared" si="0"/>
        <v>14443.796183727496</v>
      </c>
    </row>
    <row r="61" spans="1:38" x14ac:dyDescent="0.3">
      <c r="A61" t="s">
        <v>45</v>
      </c>
      <c r="B61" t="s">
        <v>46</v>
      </c>
      <c r="C61">
        <v>2019</v>
      </c>
      <c r="D61">
        <v>0</v>
      </c>
      <c r="E61">
        <v>0</v>
      </c>
      <c r="F61">
        <v>0</v>
      </c>
      <c r="N61">
        <v>355009</v>
      </c>
      <c r="O61">
        <v>16429.990000000002</v>
      </c>
      <c r="P61">
        <v>968523426</v>
      </c>
      <c r="AC61">
        <v>116669.1</v>
      </c>
      <c r="AD61">
        <v>115259.16</v>
      </c>
      <c r="AE61">
        <v>1409.94</v>
      </c>
      <c r="AF61">
        <v>5080</v>
      </c>
      <c r="AG61">
        <v>24.69</v>
      </c>
      <c r="AH61">
        <v>212.31</v>
      </c>
      <c r="AJ61">
        <v>527.98</v>
      </c>
      <c r="AK61">
        <v>45.509017926110957</v>
      </c>
      <c r="AL61">
        <f t="shared" si="0"/>
        <v>8958.4680956911325</v>
      </c>
    </row>
    <row r="62" spans="1:38" x14ac:dyDescent="0.3">
      <c r="A62" t="s">
        <v>47</v>
      </c>
      <c r="B62" t="s">
        <v>48</v>
      </c>
      <c r="C62">
        <v>2019</v>
      </c>
      <c r="D62">
        <v>28.36</v>
      </c>
      <c r="E62">
        <v>36.35</v>
      </c>
      <c r="F62">
        <v>0.87</v>
      </c>
      <c r="G62">
        <v>28.36</v>
      </c>
      <c r="H62">
        <v>36.35</v>
      </c>
      <c r="I62">
        <v>0.87</v>
      </c>
      <c r="J62">
        <v>0</v>
      </c>
      <c r="K62">
        <v>0</v>
      </c>
      <c r="L62">
        <v>0.1</v>
      </c>
      <c r="N62">
        <v>504775</v>
      </c>
      <c r="O62">
        <v>45942.9</v>
      </c>
      <c r="P62">
        <v>1613753372</v>
      </c>
      <c r="AC62">
        <v>281363.38</v>
      </c>
      <c r="AD62">
        <v>227815.03</v>
      </c>
      <c r="AE62">
        <v>53548.34</v>
      </c>
      <c r="AF62">
        <v>14048</v>
      </c>
      <c r="AG62">
        <v>24.31</v>
      </c>
      <c r="AH62">
        <v>53.85</v>
      </c>
      <c r="AI62">
        <v>107.7</v>
      </c>
      <c r="AK62">
        <v>225.95579641349249</v>
      </c>
      <c r="AL62">
        <f t="shared" si="0"/>
        <v>16084.552705971846</v>
      </c>
    </row>
    <row r="63" spans="1:38" x14ac:dyDescent="0.3">
      <c r="A63" t="s">
        <v>49</v>
      </c>
      <c r="B63" t="s">
        <v>50</v>
      </c>
      <c r="C63">
        <v>2019</v>
      </c>
      <c r="D63">
        <v>21.48</v>
      </c>
      <c r="E63">
        <v>0.91</v>
      </c>
      <c r="F63">
        <v>65.56</v>
      </c>
      <c r="G63">
        <v>21.48</v>
      </c>
      <c r="H63">
        <v>0.91</v>
      </c>
      <c r="I63">
        <v>65.56</v>
      </c>
      <c r="J63">
        <v>3.7</v>
      </c>
      <c r="L63">
        <v>3.7</v>
      </c>
      <c r="N63">
        <v>216819.8</v>
      </c>
      <c r="O63">
        <v>27212.75</v>
      </c>
      <c r="P63">
        <v>3735385952</v>
      </c>
      <c r="AC63">
        <v>512467.6</v>
      </c>
      <c r="AD63">
        <v>360255.91</v>
      </c>
      <c r="AE63">
        <v>152211.67000000001</v>
      </c>
      <c r="AF63">
        <v>42626</v>
      </c>
      <c r="AG63">
        <v>19.170000000000002</v>
      </c>
      <c r="AH63">
        <v>19.559999999999999</v>
      </c>
      <c r="AI63">
        <v>19.559999999999999</v>
      </c>
      <c r="AK63">
        <v>471.22434987198591</v>
      </c>
      <c r="AL63">
        <f t="shared" si="0"/>
        <v>11054.857361046918</v>
      </c>
    </row>
    <row r="64" spans="1:38" x14ac:dyDescent="0.3">
      <c r="A64" t="s">
        <v>51</v>
      </c>
      <c r="B64" t="s">
        <v>52</v>
      </c>
      <c r="C64">
        <v>2019</v>
      </c>
      <c r="D64">
        <v>50.32</v>
      </c>
      <c r="E64">
        <v>34.020000000000003</v>
      </c>
      <c r="F64">
        <v>100</v>
      </c>
      <c r="G64">
        <v>37.880000000000003</v>
      </c>
      <c r="H64">
        <v>21.26</v>
      </c>
      <c r="I64">
        <v>88.52</v>
      </c>
      <c r="J64">
        <v>5.8</v>
      </c>
      <c r="L64">
        <v>5.8</v>
      </c>
      <c r="N64">
        <v>160340.67000000001</v>
      </c>
      <c r="O64">
        <v>20794.34</v>
      </c>
      <c r="P64">
        <v>1877520143</v>
      </c>
      <c r="AC64">
        <v>55499.51</v>
      </c>
      <c r="AD64">
        <v>47028.43</v>
      </c>
      <c r="AE64">
        <v>8471.07</v>
      </c>
      <c r="AF64">
        <v>20138</v>
      </c>
      <c r="AG64">
        <v>15.54</v>
      </c>
      <c r="AJ64">
        <v>845.71</v>
      </c>
      <c r="AK64">
        <v>208.64712106281391</v>
      </c>
      <c r="AL64">
        <f t="shared" si="0"/>
        <v>10360.86607720796</v>
      </c>
    </row>
    <row r="65" spans="1:38" x14ac:dyDescent="0.3">
      <c r="A65" t="s">
        <v>53</v>
      </c>
      <c r="B65" t="s">
        <v>54</v>
      </c>
      <c r="C65">
        <v>2019</v>
      </c>
      <c r="D65">
        <v>33.46</v>
      </c>
      <c r="E65">
        <v>35.06</v>
      </c>
      <c r="F65">
        <v>31.37</v>
      </c>
      <c r="G65">
        <v>7.59</v>
      </c>
      <c r="H65">
        <v>1.95</v>
      </c>
      <c r="I65">
        <v>14.96</v>
      </c>
      <c r="J65">
        <v>2.8</v>
      </c>
      <c r="K65">
        <v>4.5999999999999996</v>
      </c>
      <c r="L65">
        <v>1.5</v>
      </c>
      <c r="M65">
        <v>54</v>
      </c>
      <c r="N65">
        <v>179748.16</v>
      </c>
      <c r="O65">
        <v>59798.53</v>
      </c>
      <c r="P65">
        <v>9298070025</v>
      </c>
      <c r="AC65">
        <v>835224.34</v>
      </c>
      <c r="AD65">
        <v>418176.86</v>
      </c>
      <c r="AE65">
        <v>417047.48</v>
      </c>
      <c r="AF65">
        <v>126132</v>
      </c>
      <c r="AG65">
        <v>14.58</v>
      </c>
      <c r="AI65">
        <v>13.4</v>
      </c>
      <c r="AJ65">
        <v>341.34</v>
      </c>
      <c r="AK65">
        <v>2131.8346364321292</v>
      </c>
      <c r="AL65">
        <f t="shared" si="0"/>
        <v>16901.616056449824</v>
      </c>
    </row>
    <row r="66" spans="1:38" x14ac:dyDescent="0.3">
      <c r="A66" t="s">
        <v>55</v>
      </c>
      <c r="B66" t="s">
        <v>56</v>
      </c>
      <c r="C66">
        <v>2019</v>
      </c>
      <c r="E66">
        <v>0</v>
      </c>
      <c r="H66">
        <v>0</v>
      </c>
      <c r="M66">
        <v>67</v>
      </c>
      <c r="N66">
        <v>244268.3</v>
      </c>
      <c r="O66">
        <v>18854.939999999999</v>
      </c>
      <c r="P66">
        <v>788951861</v>
      </c>
      <c r="AC66">
        <v>142561.84</v>
      </c>
      <c r="AD66">
        <v>131005.37</v>
      </c>
      <c r="AE66">
        <v>11556.46</v>
      </c>
      <c r="AF66">
        <v>9488</v>
      </c>
      <c r="AG66">
        <v>9.7100000000000009</v>
      </c>
      <c r="AJ66">
        <v>47.39</v>
      </c>
      <c r="AK66">
        <v>75.05403640916721</v>
      </c>
      <c r="AL66">
        <f t="shared" si="0"/>
        <v>7910.4169908481463</v>
      </c>
    </row>
    <row r="67" spans="1:38" x14ac:dyDescent="0.3">
      <c r="A67" t="s">
        <v>57</v>
      </c>
      <c r="B67" t="s">
        <v>58</v>
      </c>
      <c r="C67">
        <v>2019</v>
      </c>
      <c r="D67">
        <v>33.24</v>
      </c>
      <c r="E67">
        <v>0</v>
      </c>
      <c r="F67">
        <v>83.54</v>
      </c>
      <c r="G67">
        <v>33.24</v>
      </c>
      <c r="H67">
        <v>0</v>
      </c>
      <c r="I67">
        <v>83.54</v>
      </c>
      <c r="J67">
        <v>2</v>
      </c>
      <c r="L67">
        <v>2</v>
      </c>
      <c r="N67">
        <v>149242.44</v>
      </c>
      <c r="O67">
        <v>29924.880000000001</v>
      </c>
      <c r="P67">
        <v>2046546587</v>
      </c>
      <c r="AC67">
        <v>95935.7</v>
      </c>
      <c r="AD67">
        <v>45851.32</v>
      </c>
      <c r="AE67">
        <v>50084.38</v>
      </c>
      <c r="AF67">
        <v>31274</v>
      </c>
      <c r="AG67">
        <v>8.49</v>
      </c>
      <c r="AJ67">
        <v>534.26</v>
      </c>
      <c r="AK67">
        <v>262.74239991548882</v>
      </c>
      <c r="AL67">
        <f t="shared" ref="AL67:AL122" si="1">(AK67/AF67)*1000000</f>
        <v>8401.3045953664005</v>
      </c>
    </row>
    <row r="68" spans="1:38" x14ac:dyDescent="0.3">
      <c r="A68" t="s">
        <v>37</v>
      </c>
      <c r="B68" t="s">
        <v>38</v>
      </c>
      <c r="C68">
        <v>2020</v>
      </c>
      <c r="D68">
        <v>84.1</v>
      </c>
      <c r="E68">
        <v>42.4</v>
      </c>
      <c r="F68">
        <v>90.66</v>
      </c>
      <c r="G68">
        <v>83.37</v>
      </c>
      <c r="H68">
        <v>36.99</v>
      </c>
      <c r="I68">
        <v>90.66</v>
      </c>
      <c r="J68">
        <v>3.5</v>
      </c>
      <c r="K68">
        <v>0</v>
      </c>
      <c r="L68">
        <v>4.0999999999999996</v>
      </c>
      <c r="M68">
        <v>72</v>
      </c>
      <c r="N68">
        <v>299100.82</v>
      </c>
      <c r="O68">
        <v>98578.1</v>
      </c>
      <c r="P68">
        <v>7617230174</v>
      </c>
      <c r="Q68">
        <v>34474</v>
      </c>
      <c r="R68">
        <v>33383</v>
      </c>
      <c r="S68">
        <v>96.8</v>
      </c>
      <c r="T68">
        <v>28929</v>
      </c>
      <c r="U68">
        <v>28514</v>
      </c>
      <c r="V68">
        <v>98.6</v>
      </c>
      <c r="W68">
        <v>44448</v>
      </c>
      <c r="X68">
        <v>97.5</v>
      </c>
      <c r="Y68">
        <v>40028</v>
      </c>
      <c r="Z68">
        <v>98.2</v>
      </c>
      <c r="AA68">
        <v>4421</v>
      </c>
      <c r="AB68">
        <v>91.7</v>
      </c>
      <c r="AC68">
        <v>1164833.33</v>
      </c>
      <c r="AD68">
        <v>381184.41</v>
      </c>
      <c r="AE68">
        <v>783648.88</v>
      </c>
      <c r="AF68">
        <v>121664</v>
      </c>
      <c r="AG68">
        <v>10.25</v>
      </c>
      <c r="AI68">
        <v>8.64</v>
      </c>
      <c r="AJ68">
        <v>109.59</v>
      </c>
      <c r="AK68">
        <v>2218.7713186326482</v>
      </c>
      <c r="AL68">
        <f t="shared" si="1"/>
        <v>18236.876303858564</v>
      </c>
    </row>
    <row r="69" spans="1:38" x14ac:dyDescent="0.3">
      <c r="A69" t="s">
        <v>39</v>
      </c>
      <c r="B69" t="s">
        <v>40</v>
      </c>
      <c r="C69">
        <v>2020</v>
      </c>
      <c r="D69">
        <v>61.38</v>
      </c>
      <c r="E69">
        <v>0</v>
      </c>
      <c r="F69">
        <v>61.38</v>
      </c>
      <c r="G69">
        <v>24.11</v>
      </c>
      <c r="H69">
        <v>0</v>
      </c>
      <c r="I69">
        <v>24.11</v>
      </c>
      <c r="J69">
        <v>10.9</v>
      </c>
      <c r="L69">
        <v>10.9</v>
      </c>
      <c r="M69">
        <v>70</v>
      </c>
      <c r="N69">
        <v>215827.94</v>
      </c>
      <c r="O69">
        <v>21303.55</v>
      </c>
      <c r="P69">
        <v>2546092027</v>
      </c>
      <c r="W69">
        <v>10355</v>
      </c>
      <c r="X69">
        <v>88.7</v>
      </c>
      <c r="Y69">
        <v>4625</v>
      </c>
      <c r="Z69">
        <v>96.5</v>
      </c>
      <c r="AA69">
        <v>5730</v>
      </c>
      <c r="AB69">
        <v>82.4</v>
      </c>
      <c r="AC69">
        <v>279120.48</v>
      </c>
      <c r="AD69">
        <v>229458.8</v>
      </c>
      <c r="AE69">
        <v>49661.68</v>
      </c>
      <c r="AF69">
        <v>30210</v>
      </c>
      <c r="AG69">
        <v>17.350000000000001</v>
      </c>
      <c r="AJ69">
        <v>278.60000000000002</v>
      </c>
      <c r="AK69">
        <v>246.4862027795678</v>
      </c>
      <c r="AL69">
        <f t="shared" si="1"/>
        <v>8159.0931075659655</v>
      </c>
    </row>
    <row r="70" spans="1:38" x14ac:dyDescent="0.3">
      <c r="A70" t="s">
        <v>41</v>
      </c>
      <c r="B70" t="s">
        <v>42</v>
      </c>
      <c r="C70">
        <v>2020</v>
      </c>
      <c r="D70">
        <v>80.540000000000006</v>
      </c>
      <c r="E70">
        <v>33.14</v>
      </c>
      <c r="F70">
        <v>100</v>
      </c>
      <c r="G70">
        <v>80.540000000000006</v>
      </c>
      <c r="H70">
        <v>33.15</v>
      </c>
      <c r="I70">
        <v>100</v>
      </c>
      <c r="J70">
        <v>0.2</v>
      </c>
      <c r="L70">
        <v>0.2</v>
      </c>
      <c r="M70">
        <v>74</v>
      </c>
      <c r="N70">
        <v>281353.93</v>
      </c>
      <c r="O70">
        <v>90161.32</v>
      </c>
      <c r="P70">
        <v>2393944817</v>
      </c>
      <c r="Q70">
        <v>11214</v>
      </c>
      <c r="R70">
        <v>10877</v>
      </c>
      <c r="S70">
        <v>97</v>
      </c>
      <c r="T70">
        <v>10767</v>
      </c>
      <c r="U70">
        <v>10618</v>
      </c>
      <c r="V70">
        <v>98.6</v>
      </c>
      <c r="W70">
        <v>17626</v>
      </c>
      <c r="X70">
        <v>97.1</v>
      </c>
      <c r="Y70">
        <v>12688</v>
      </c>
      <c r="Z70">
        <v>98.4</v>
      </c>
      <c r="AA70">
        <v>4938</v>
      </c>
      <c r="AB70">
        <v>93.6</v>
      </c>
      <c r="AC70">
        <v>381644.21</v>
      </c>
      <c r="AD70">
        <v>164325.03</v>
      </c>
      <c r="AE70">
        <v>217319.16</v>
      </c>
      <c r="AF70">
        <v>48862</v>
      </c>
      <c r="AG70">
        <v>12.46</v>
      </c>
      <c r="AJ70">
        <v>56.54</v>
      </c>
      <c r="AK70">
        <v>1075.5396082955169</v>
      </c>
      <c r="AL70">
        <f t="shared" si="1"/>
        <v>22011.780285201523</v>
      </c>
    </row>
    <row r="71" spans="1:38" x14ac:dyDescent="0.3">
      <c r="A71" t="s">
        <v>43</v>
      </c>
      <c r="B71" t="s">
        <v>44</v>
      </c>
      <c r="C71">
        <v>2020</v>
      </c>
      <c r="D71">
        <v>71.47</v>
      </c>
      <c r="E71">
        <v>1.62</v>
      </c>
      <c r="F71">
        <v>87.66</v>
      </c>
      <c r="G71">
        <v>71.180000000000007</v>
      </c>
      <c r="H71">
        <v>1.62</v>
      </c>
      <c r="I71">
        <v>87.5</v>
      </c>
      <c r="J71">
        <v>0.1</v>
      </c>
      <c r="L71">
        <v>0.1</v>
      </c>
      <c r="M71">
        <v>74</v>
      </c>
      <c r="N71">
        <v>274858.78999999998</v>
      </c>
      <c r="O71">
        <v>51649.03</v>
      </c>
      <c r="P71">
        <v>3923469343</v>
      </c>
      <c r="Q71">
        <v>15762</v>
      </c>
      <c r="R71">
        <v>15432</v>
      </c>
      <c r="S71">
        <v>97.9</v>
      </c>
      <c r="T71">
        <v>12433</v>
      </c>
      <c r="U71">
        <v>12313</v>
      </c>
      <c r="V71">
        <v>99</v>
      </c>
      <c r="W71">
        <v>22228</v>
      </c>
      <c r="X71">
        <v>97.3</v>
      </c>
      <c r="Y71">
        <v>18332</v>
      </c>
      <c r="Z71">
        <v>98.4</v>
      </c>
      <c r="AA71">
        <v>3897</v>
      </c>
      <c r="AB71">
        <v>91.8</v>
      </c>
      <c r="AC71">
        <v>661884.43999999994</v>
      </c>
      <c r="AD71">
        <v>317088.33</v>
      </c>
      <c r="AE71">
        <v>344796.1</v>
      </c>
      <c r="AF71">
        <v>56976</v>
      </c>
      <c r="AG71">
        <v>8.81</v>
      </c>
      <c r="AJ71">
        <v>71.86</v>
      </c>
      <c r="AK71">
        <v>831.67030654782616</v>
      </c>
      <c r="AL71">
        <f t="shared" si="1"/>
        <v>14596.853175860469</v>
      </c>
    </row>
    <row r="72" spans="1:38" x14ac:dyDescent="0.3">
      <c r="A72" t="s">
        <v>45</v>
      </c>
      <c r="B72" t="s">
        <v>46</v>
      </c>
      <c r="C72">
        <v>2020</v>
      </c>
      <c r="D72">
        <v>0</v>
      </c>
      <c r="E72">
        <v>0</v>
      </c>
      <c r="F72">
        <v>0</v>
      </c>
      <c r="N72">
        <v>292034.78999999998</v>
      </c>
      <c r="O72">
        <v>12314.55</v>
      </c>
      <c r="P72">
        <v>1183318725</v>
      </c>
      <c r="AC72">
        <v>120169.18</v>
      </c>
      <c r="AD72">
        <v>118716.93</v>
      </c>
      <c r="AE72">
        <v>1452.24</v>
      </c>
      <c r="AF72">
        <v>5268</v>
      </c>
      <c r="AG72">
        <v>10.87</v>
      </c>
      <c r="AJ72">
        <v>107.53</v>
      </c>
      <c r="AK72">
        <v>41.17369904528622</v>
      </c>
      <c r="AL72">
        <f t="shared" si="1"/>
        <v>7815.8122713147732</v>
      </c>
    </row>
    <row r="73" spans="1:38" x14ac:dyDescent="0.3">
      <c r="A73" t="s">
        <v>47</v>
      </c>
      <c r="B73" t="s">
        <v>48</v>
      </c>
      <c r="C73">
        <v>2020</v>
      </c>
      <c r="D73">
        <v>28.36</v>
      </c>
      <c r="E73">
        <v>36.35</v>
      </c>
      <c r="F73">
        <v>0.87</v>
      </c>
      <c r="G73">
        <v>28.36</v>
      </c>
      <c r="H73">
        <v>36.35</v>
      </c>
      <c r="I73">
        <v>0.87</v>
      </c>
      <c r="J73">
        <v>0</v>
      </c>
      <c r="L73">
        <v>0</v>
      </c>
      <c r="N73">
        <v>373195.14</v>
      </c>
      <c r="O73">
        <v>88739.46</v>
      </c>
      <c r="P73">
        <v>1652919629</v>
      </c>
      <c r="Q73">
        <v>4086</v>
      </c>
      <c r="R73">
        <v>3820</v>
      </c>
      <c r="S73">
        <v>93.5</v>
      </c>
      <c r="T73">
        <v>1727</v>
      </c>
      <c r="U73">
        <v>1702</v>
      </c>
      <c r="V73">
        <v>98.5</v>
      </c>
      <c r="W73">
        <v>8724</v>
      </c>
      <c r="X73">
        <v>94</v>
      </c>
      <c r="Y73">
        <v>5631</v>
      </c>
      <c r="Z73">
        <v>95.7</v>
      </c>
      <c r="AA73">
        <v>3093</v>
      </c>
      <c r="AB73">
        <v>91.1</v>
      </c>
      <c r="AC73">
        <v>248779.82</v>
      </c>
      <c r="AD73">
        <v>215624.5</v>
      </c>
      <c r="AE73">
        <v>33155.32</v>
      </c>
      <c r="AF73">
        <v>14093</v>
      </c>
      <c r="AG73">
        <v>17</v>
      </c>
      <c r="AH73">
        <v>53.71</v>
      </c>
      <c r="AJ73">
        <v>76.45</v>
      </c>
      <c r="AK73">
        <v>187.371446082272</v>
      </c>
      <c r="AL73">
        <f t="shared" si="1"/>
        <v>13295.355572431135</v>
      </c>
    </row>
    <row r="74" spans="1:38" x14ac:dyDescent="0.3">
      <c r="A74" t="s">
        <v>49</v>
      </c>
      <c r="B74" t="s">
        <v>50</v>
      </c>
      <c r="C74">
        <v>2020</v>
      </c>
      <c r="D74">
        <v>23.13</v>
      </c>
      <c r="E74">
        <v>1.02</v>
      </c>
      <c r="F74">
        <v>65.569999999999993</v>
      </c>
      <c r="G74">
        <v>23.13</v>
      </c>
      <c r="H74">
        <v>1.02</v>
      </c>
      <c r="I74">
        <v>65.569999999999993</v>
      </c>
      <c r="J74">
        <v>24.4</v>
      </c>
      <c r="K74">
        <v>0</v>
      </c>
      <c r="L74">
        <v>29.8</v>
      </c>
      <c r="N74">
        <v>187141.93</v>
      </c>
      <c r="O74">
        <v>25344.26</v>
      </c>
      <c r="P74">
        <v>3922929763</v>
      </c>
      <c r="W74">
        <v>17632</v>
      </c>
      <c r="X74">
        <v>88</v>
      </c>
      <c r="Y74">
        <v>7703</v>
      </c>
      <c r="Z74">
        <v>96</v>
      </c>
      <c r="AA74">
        <v>9929</v>
      </c>
      <c r="AB74">
        <v>81.900000000000006</v>
      </c>
      <c r="AC74">
        <v>527986.49</v>
      </c>
      <c r="AD74">
        <v>371230.34</v>
      </c>
      <c r="AE74">
        <v>156756.15</v>
      </c>
      <c r="AF74">
        <v>43061</v>
      </c>
      <c r="AG74">
        <v>23.69</v>
      </c>
      <c r="AI74">
        <v>19.350000000000001</v>
      </c>
      <c r="AJ74">
        <v>138.27000000000001</v>
      </c>
      <c r="AK74">
        <v>455.38757632892151</v>
      </c>
      <c r="AL74">
        <f t="shared" si="1"/>
        <v>10575.406431084311</v>
      </c>
    </row>
    <row r="75" spans="1:38" x14ac:dyDescent="0.3">
      <c r="A75" t="s">
        <v>51</v>
      </c>
      <c r="B75" t="s">
        <v>52</v>
      </c>
      <c r="C75">
        <v>2020</v>
      </c>
      <c r="D75">
        <v>51.86</v>
      </c>
      <c r="E75">
        <v>2.2400000000000002</v>
      </c>
      <c r="F75">
        <v>100</v>
      </c>
      <c r="G75">
        <v>39.39</v>
      </c>
      <c r="H75">
        <v>14.145</v>
      </c>
      <c r="I75">
        <v>77.61</v>
      </c>
      <c r="J75">
        <v>6.2</v>
      </c>
      <c r="L75">
        <v>6.2</v>
      </c>
      <c r="N75">
        <v>223804.79999999999</v>
      </c>
      <c r="O75">
        <v>18286.810000000001</v>
      </c>
      <c r="P75">
        <v>2044000593</v>
      </c>
      <c r="W75">
        <v>7741</v>
      </c>
      <c r="X75">
        <v>90.7</v>
      </c>
      <c r="Y75">
        <v>3096</v>
      </c>
      <c r="Z75">
        <v>96</v>
      </c>
      <c r="AA75">
        <v>4646</v>
      </c>
      <c r="AB75">
        <v>87.2</v>
      </c>
      <c r="AC75">
        <v>57229.45</v>
      </c>
      <c r="AD75">
        <v>48460</v>
      </c>
      <c r="AE75">
        <v>8769.4599999999991</v>
      </c>
      <c r="AF75">
        <v>20239</v>
      </c>
      <c r="AG75">
        <v>17.63</v>
      </c>
      <c r="AJ75">
        <v>186.16</v>
      </c>
      <c r="AK75">
        <v>198.79722525128139</v>
      </c>
      <c r="AL75">
        <f t="shared" si="1"/>
        <v>9822.4825955472807</v>
      </c>
    </row>
    <row r="76" spans="1:38" x14ac:dyDescent="0.3">
      <c r="A76" t="s">
        <v>53</v>
      </c>
      <c r="B76" t="s">
        <v>54</v>
      </c>
      <c r="C76">
        <v>2020</v>
      </c>
      <c r="D76">
        <v>33.46</v>
      </c>
      <c r="E76">
        <v>66.245000000000005</v>
      </c>
      <c r="F76">
        <v>64.099999999999994</v>
      </c>
      <c r="G76">
        <v>7.59</v>
      </c>
      <c r="H76">
        <v>49.69</v>
      </c>
      <c r="I76">
        <v>55.895000000000003</v>
      </c>
      <c r="J76">
        <v>1.3</v>
      </c>
      <c r="K76">
        <v>0.9</v>
      </c>
      <c r="L76">
        <v>1.6</v>
      </c>
      <c r="M76">
        <v>49</v>
      </c>
      <c r="N76">
        <v>168178.12</v>
      </c>
      <c r="O76">
        <v>61954.42</v>
      </c>
      <c r="P76">
        <v>9605851756</v>
      </c>
      <c r="Q76">
        <v>14306</v>
      </c>
      <c r="R76">
        <v>13243</v>
      </c>
      <c r="S76">
        <v>92.6</v>
      </c>
      <c r="T76">
        <v>6933</v>
      </c>
      <c r="U76">
        <v>6743</v>
      </c>
      <c r="V76">
        <v>97.3</v>
      </c>
      <c r="W76">
        <v>47469</v>
      </c>
      <c r="X76">
        <v>94</v>
      </c>
      <c r="Y76">
        <v>31778</v>
      </c>
      <c r="Z76">
        <v>97.2</v>
      </c>
      <c r="AA76">
        <v>15691</v>
      </c>
      <c r="AB76">
        <v>87.4</v>
      </c>
      <c r="AC76">
        <v>860239.89</v>
      </c>
      <c r="AD76">
        <v>299671.39</v>
      </c>
      <c r="AE76">
        <v>560568.47</v>
      </c>
      <c r="AF76">
        <v>127888</v>
      </c>
      <c r="AG76">
        <v>11</v>
      </c>
      <c r="AJ76">
        <v>84.49</v>
      </c>
      <c r="AK76">
        <v>2048.635195473491</v>
      </c>
      <c r="AL76">
        <f t="shared" si="1"/>
        <v>16018.979071324056</v>
      </c>
    </row>
    <row r="77" spans="1:38" x14ac:dyDescent="0.3">
      <c r="A77" t="s">
        <v>55</v>
      </c>
      <c r="B77" t="s">
        <v>56</v>
      </c>
      <c r="C77">
        <v>2020</v>
      </c>
      <c r="E77">
        <v>0</v>
      </c>
      <c r="H77">
        <v>0</v>
      </c>
      <c r="M77">
        <v>69</v>
      </c>
      <c r="N77">
        <v>316749</v>
      </c>
      <c r="O77">
        <v>22639.35</v>
      </c>
      <c r="P77">
        <v>1127058256</v>
      </c>
      <c r="AC77">
        <v>146838.70000000001</v>
      </c>
      <c r="AD77">
        <v>134935.54</v>
      </c>
      <c r="AE77">
        <v>11903.15</v>
      </c>
      <c r="AF77">
        <v>9915</v>
      </c>
      <c r="AG77">
        <v>74.069999999999993</v>
      </c>
      <c r="AJ77">
        <v>212.64</v>
      </c>
      <c r="AK77">
        <v>73.242520747538862</v>
      </c>
      <c r="AL77">
        <f t="shared" si="1"/>
        <v>7387.0419311688211</v>
      </c>
    </row>
    <row r="78" spans="1:38" x14ac:dyDescent="0.3">
      <c r="A78" t="s">
        <v>57</v>
      </c>
      <c r="B78" t="s">
        <v>58</v>
      </c>
      <c r="C78">
        <v>2020</v>
      </c>
      <c r="D78">
        <v>35.409999999999997</v>
      </c>
      <c r="E78">
        <v>3.61</v>
      </c>
      <c r="F78">
        <v>83.54</v>
      </c>
      <c r="G78">
        <v>33.24</v>
      </c>
      <c r="H78">
        <v>0</v>
      </c>
      <c r="I78">
        <v>83.54</v>
      </c>
      <c r="J78">
        <v>3</v>
      </c>
      <c r="L78">
        <v>3</v>
      </c>
      <c r="N78">
        <v>105156.39</v>
      </c>
      <c r="O78">
        <v>19317.34</v>
      </c>
      <c r="P78">
        <v>2310195923</v>
      </c>
      <c r="W78">
        <v>11132</v>
      </c>
      <c r="X78">
        <v>88.1</v>
      </c>
      <c r="Y78">
        <v>4538</v>
      </c>
      <c r="Z78">
        <v>97.2</v>
      </c>
      <c r="AA78">
        <v>6593</v>
      </c>
      <c r="AB78">
        <v>81.900000000000006</v>
      </c>
      <c r="AC78">
        <v>98920</v>
      </c>
      <c r="AD78">
        <v>47337.43</v>
      </c>
      <c r="AE78">
        <v>51582.559999999998</v>
      </c>
      <c r="AF78">
        <v>31625</v>
      </c>
      <c r="AG78">
        <v>13.89</v>
      </c>
      <c r="AI78">
        <v>31.11</v>
      </c>
      <c r="AJ78">
        <v>77.77</v>
      </c>
      <c r="AK78">
        <v>239.7359158439269</v>
      </c>
      <c r="AL78">
        <f t="shared" si="1"/>
        <v>7580.5823191755544</v>
      </c>
    </row>
    <row r="79" spans="1:38" x14ac:dyDescent="0.3">
      <c r="A79" t="s">
        <v>37</v>
      </c>
      <c r="B79" t="s">
        <v>38</v>
      </c>
      <c r="C79">
        <v>2021</v>
      </c>
      <c r="D79">
        <v>89.75</v>
      </c>
      <c r="E79">
        <v>44.09</v>
      </c>
      <c r="F79">
        <v>96.26</v>
      </c>
      <c r="G79">
        <v>88</v>
      </c>
      <c r="H79">
        <v>37.53</v>
      </c>
      <c r="I79">
        <v>95.17</v>
      </c>
      <c r="J79">
        <v>2.4</v>
      </c>
      <c r="K79">
        <v>8.6</v>
      </c>
      <c r="L79">
        <v>0</v>
      </c>
      <c r="M79">
        <v>74</v>
      </c>
      <c r="N79">
        <v>357467.13</v>
      </c>
      <c r="O79">
        <v>132511.60999999999</v>
      </c>
      <c r="P79">
        <v>6743393919</v>
      </c>
      <c r="Q79">
        <v>35628</v>
      </c>
      <c r="R79">
        <v>34237</v>
      </c>
      <c r="S79">
        <v>96.1</v>
      </c>
      <c r="T79">
        <v>30770</v>
      </c>
      <c r="U79">
        <v>30051</v>
      </c>
      <c r="V79">
        <v>97.7</v>
      </c>
      <c r="W79">
        <v>46281</v>
      </c>
      <c r="X79">
        <v>96.8</v>
      </c>
      <c r="Y79">
        <v>41496</v>
      </c>
      <c r="Z79">
        <v>97.5</v>
      </c>
      <c r="AA79">
        <v>4784</v>
      </c>
      <c r="AB79">
        <v>90.5</v>
      </c>
      <c r="AC79">
        <v>1193424977920</v>
      </c>
      <c r="AD79">
        <v>383789563904</v>
      </c>
      <c r="AE79">
        <v>809635479552</v>
      </c>
      <c r="AF79">
        <v>122772</v>
      </c>
      <c r="AG79">
        <v>9.19</v>
      </c>
      <c r="AJ79">
        <v>131.02000000000001</v>
      </c>
      <c r="AK79">
        <v>2531.5687844963509</v>
      </c>
      <c r="AL79">
        <f t="shared" si="1"/>
        <v>20620.082628745567</v>
      </c>
    </row>
    <row r="80" spans="1:38" x14ac:dyDescent="0.3">
      <c r="A80" t="s">
        <v>39</v>
      </c>
      <c r="B80" t="s">
        <v>40</v>
      </c>
      <c r="C80">
        <v>2021</v>
      </c>
      <c r="E80">
        <v>0</v>
      </c>
      <c r="H80">
        <v>0</v>
      </c>
      <c r="J80">
        <v>1.7</v>
      </c>
      <c r="L80">
        <v>1.7</v>
      </c>
      <c r="M80">
        <v>70</v>
      </c>
      <c r="N80">
        <v>176957.13</v>
      </c>
      <c r="O80">
        <v>27299.65</v>
      </c>
      <c r="P80">
        <v>2664133477</v>
      </c>
      <c r="W80">
        <v>11024</v>
      </c>
      <c r="X80">
        <v>85.8</v>
      </c>
      <c r="Y80">
        <v>4758</v>
      </c>
      <c r="Z80">
        <v>96</v>
      </c>
      <c r="AA80">
        <v>6265</v>
      </c>
      <c r="AB80">
        <v>78</v>
      </c>
      <c r="AC80">
        <v>288616251392</v>
      </c>
      <c r="AD80">
        <v>236330591905</v>
      </c>
      <c r="AE80">
        <v>52285669376</v>
      </c>
      <c r="AF80">
        <v>30559</v>
      </c>
      <c r="AG80">
        <v>7.38</v>
      </c>
      <c r="AJ80">
        <v>90.37</v>
      </c>
      <c r="AK80">
        <v>279.15044562726871</v>
      </c>
      <c r="AL80">
        <f t="shared" si="1"/>
        <v>9134.8030245514801</v>
      </c>
    </row>
    <row r="81" spans="1:38" x14ac:dyDescent="0.3">
      <c r="A81" t="s">
        <v>41</v>
      </c>
      <c r="B81" t="s">
        <v>42</v>
      </c>
      <c r="C81">
        <v>2021</v>
      </c>
      <c r="D81">
        <v>80.540000000000006</v>
      </c>
      <c r="E81">
        <v>33.14</v>
      </c>
      <c r="F81">
        <v>100</v>
      </c>
      <c r="G81">
        <v>80.540000000000006</v>
      </c>
      <c r="H81">
        <v>33.15</v>
      </c>
      <c r="I81">
        <v>100</v>
      </c>
      <c r="J81">
        <v>2.6</v>
      </c>
      <c r="L81">
        <v>2.6</v>
      </c>
      <c r="M81">
        <v>78</v>
      </c>
      <c r="N81">
        <v>309029.15999999997</v>
      </c>
      <c r="O81">
        <v>95785.8</v>
      </c>
      <c r="P81">
        <v>2390617244</v>
      </c>
      <c r="Q81">
        <v>11757</v>
      </c>
      <c r="R81">
        <v>11372</v>
      </c>
      <c r="S81">
        <v>96.7</v>
      </c>
      <c r="T81">
        <v>11471</v>
      </c>
      <c r="U81">
        <v>11221</v>
      </c>
      <c r="V81">
        <v>97.8</v>
      </c>
      <c r="W81">
        <v>18486</v>
      </c>
      <c r="X81">
        <v>96.2</v>
      </c>
      <c r="Y81">
        <v>13282</v>
      </c>
      <c r="Z81">
        <v>97.8</v>
      </c>
      <c r="AA81">
        <v>5204</v>
      </c>
      <c r="AB81">
        <v>92.2</v>
      </c>
      <c r="AC81">
        <v>394341515264</v>
      </c>
      <c r="AD81">
        <v>169309028352</v>
      </c>
      <c r="AE81">
        <v>225032503296</v>
      </c>
      <c r="AF81">
        <v>49435</v>
      </c>
      <c r="AG81">
        <v>8.81</v>
      </c>
      <c r="AJ81">
        <v>97.09</v>
      </c>
      <c r="AK81">
        <v>1235.897690444752</v>
      </c>
      <c r="AL81">
        <f t="shared" si="1"/>
        <v>25000.458995544694</v>
      </c>
    </row>
    <row r="82" spans="1:38" x14ac:dyDescent="0.3">
      <c r="A82" t="s">
        <v>43</v>
      </c>
      <c r="B82" t="s">
        <v>44</v>
      </c>
      <c r="C82">
        <v>2021</v>
      </c>
      <c r="D82">
        <v>80.56</v>
      </c>
      <c r="E82">
        <v>6.02</v>
      </c>
      <c r="F82">
        <v>97.83</v>
      </c>
      <c r="G82">
        <v>80.36</v>
      </c>
      <c r="H82">
        <v>6.02</v>
      </c>
      <c r="I82">
        <v>97.8</v>
      </c>
      <c r="J82">
        <v>0.5</v>
      </c>
      <c r="L82">
        <v>0.5</v>
      </c>
      <c r="M82">
        <v>74</v>
      </c>
      <c r="N82">
        <v>273863.96999999997</v>
      </c>
      <c r="O82">
        <v>62470.45</v>
      </c>
      <c r="P82">
        <v>3592637879</v>
      </c>
      <c r="Q82">
        <v>16361</v>
      </c>
      <c r="R82">
        <v>15956</v>
      </c>
      <c r="S82">
        <v>97.5</v>
      </c>
      <c r="T82">
        <v>13149</v>
      </c>
      <c r="U82">
        <v>12961</v>
      </c>
      <c r="V82">
        <v>98.6</v>
      </c>
      <c r="W82">
        <v>22944</v>
      </c>
      <c r="X82">
        <v>96.2</v>
      </c>
      <c r="Y82">
        <v>18956</v>
      </c>
      <c r="Z82">
        <v>98.2</v>
      </c>
      <c r="AA82">
        <v>3989</v>
      </c>
      <c r="AB82">
        <v>87</v>
      </c>
      <c r="AC82">
        <v>682842718208</v>
      </c>
      <c r="AD82">
        <v>326720716800</v>
      </c>
      <c r="AE82">
        <v>356122001408</v>
      </c>
      <c r="AF82">
        <v>57121</v>
      </c>
      <c r="AG82">
        <v>14.01</v>
      </c>
      <c r="AJ82">
        <v>110.24</v>
      </c>
      <c r="AK82">
        <v>999.24424264119136</v>
      </c>
      <c r="AL82">
        <f t="shared" si="1"/>
        <v>17493.465496773366</v>
      </c>
    </row>
    <row r="83" spans="1:38" x14ac:dyDescent="0.3">
      <c r="A83" t="s">
        <v>45</v>
      </c>
      <c r="B83" t="s">
        <v>46</v>
      </c>
      <c r="C83">
        <v>2021</v>
      </c>
      <c r="D83">
        <v>0</v>
      </c>
      <c r="E83">
        <v>0</v>
      </c>
      <c r="F83">
        <v>0</v>
      </c>
      <c r="N83">
        <v>384816.22</v>
      </c>
      <c r="O83">
        <v>35337.32</v>
      </c>
      <c r="P83">
        <v>1579040622</v>
      </c>
      <c r="AC83">
        <v>123774255104</v>
      </c>
      <c r="AD83">
        <v>122278445056</v>
      </c>
      <c r="AE83">
        <v>1495810304</v>
      </c>
      <c r="AF83">
        <v>5397</v>
      </c>
      <c r="AG83">
        <v>15.15</v>
      </c>
      <c r="AJ83">
        <v>0</v>
      </c>
      <c r="AK83">
        <v>44.649976912016797</v>
      </c>
      <c r="AL83">
        <f t="shared" si="1"/>
        <v>8273.1104154190853</v>
      </c>
    </row>
    <row r="84" spans="1:38" x14ac:dyDescent="0.3">
      <c r="A84" t="s">
        <v>47</v>
      </c>
      <c r="B84" t="s">
        <v>48</v>
      </c>
      <c r="C84">
        <v>2021</v>
      </c>
      <c r="D84">
        <v>28.36</v>
      </c>
      <c r="E84">
        <v>36.35</v>
      </c>
      <c r="F84">
        <v>0.87</v>
      </c>
      <c r="G84">
        <v>28.36</v>
      </c>
      <c r="H84">
        <v>36.35</v>
      </c>
      <c r="I84">
        <v>0.87</v>
      </c>
      <c r="J84">
        <v>0</v>
      </c>
      <c r="L84">
        <v>0</v>
      </c>
      <c r="N84">
        <v>386045.69</v>
      </c>
      <c r="O84">
        <v>99740.63</v>
      </c>
      <c r="P84">
        <v>1799270991</v>
      </c>
      <c r="Q84">
        <v>2861</v>
      </c>
      <c r="R84">
        <v>2679</v>
      </c>
      <c r="S84">
        <v>93.7</v>
      </c>
      <c r="T84">
        <v>1836</v>
      </c>
      <c r="U84">
        <v>1796</v>
      </c>
      <c r="V84">
        <v>97.9</v>
      </c>
      <c r="W84">
        <v>6582</v>
      </c>
      <c r="X84">
        <v>92.1</v>
      </c>
      <c r="Y84">
        <v>3519</v>
      </c>
      <c r="Z84">
        <v>95.4</v>
      </c>
      <c r="AA84">
        <v>3063</v>
      </c>
      <c r="AB84">
        <v>88.4</v>
      </c>
      <c r="AC84">
        <v>256238600192</v>
      </c>
      <c r="AD84">
        <v>222123114496</v>
      </c>
      <c r="AE84">
        <v>34115475456</v>
      </c>
      <c r="AF84">
        <v>14054</v>
      </c>
      <c r="AG84">
        <v>14.98</v>
      </c>
      <c r="AH84">
        <v>161.72999999999999</v>
      </c>
      <c r="AI84">
        <v>107.82</v>
      </c>
      <c r="AJ84">
        <v>47.91</v>
      </c>
      <c r="AK84">
        <v>203.79980493160309</v>
      </c>
      <c r="AL84">
        <f t="shared" si="1"/>
        <v>14501.195740116911</v>
      </c>
    </row>
    <row r="85" spans="1:38" x14ac:dyDescent="0.3">
      <c r="A85" t="s">
        <v>49</v>
      </c>
      <c r="B85" t="s">
        <v>50</v>
      </c>
      <c r="C85">
        <v>2021</v>
      </c>
      <c r="D85">
        <v>23.13</v>
      </c>
      <c r="E85">
        <v>1.02</v>
      </c>
      <c r="F85">
        <v>65.489999999999995</v>
      </c>
      <c r="G85">
        <v>23.13</v>
      </c>
      <c r="H85">
        <v>1.02</v>
      </c>
      <c r="I85">
        <v>65.489999999999995</v>
      </c>
      <c r="J85">
        <v>22.6</v>
      </c>
      <c r="K85">
        <v>0</v>
      </c>
      <c r="L85">
        <v>30.8</v>
      </c>
      <c r="N85">
        <v>240884.69</v>
      </c>
      <c r="O85">
        <v>45474.55</v>
      </c>
      <c r="P85">
        <v>3779729353</v>
      </c>
      <c r="W85">
        <v>18289</v>
      </c>
      <c r="X85">
        <v>84.5</v>
      </c>
      <c r="Y85">
        <v>7960</v>
      </c>
      <c r="Z85">
        <v>95.4</v>
      </c>
      <c r="AA85">
        <v>10329</v>
      </c>
      <c r="AB85">
        <v>76.099999999999994</v>
      </c>
      <c r="AC85">
        <v>544462471168</v>
      </c>
      <c r="AD85">
        <v>382898864128</v>
      </c>
      <c r="AE85">
        <v>161563607040</v>
      </c>
      <c r="AF85">
        <v>42976</v>
      </c>
      <c r="AG85">
        <v>13.28</v>
      </c>
      <c r="AH85">
        <v>19.420000000000002</v>
      </c>
      <c r="AJ85">
        <v>113.81</v>
      </c>
      <c r="AK85">
        <v>575.57798756801265</v>
      </c>
      <c r="AL85">
        <f t="shared" si="1"/>
        <v>13393.009762844673</v>
      </c>
    </row>
    <row r="86" spans="1:38" x14ac:dyDescent="0.3">
      <c r="A86" t="s">
        <v>51</v>
      </c>
      <c r="B86" t="s">
        <v>52</v>
      </c>
      <c r="C86">
        <v>2021</v>
      </c>
      <c r="D86">
        <v>56.99</v>
      </c>
      <c r="E86">
        <v>12.2</v>
      </c>
      <c r="F86">
        <v>100</v>
      </c>
      <c r="G86">
        <v>43.03</v>
      </c>
      <c r="H86">
        <v>7.03</v>
      </c>
      <c r="I86">
        <v>77.61</v>
      </c>
      <c r="J86">
        <v>12.2</v>
      </c>
      <c r="L86">
        <v>12.2</v>
      </c>
      <c r="N86">
        <v>205871.31</v>
      </c>
      <c r="O86">
        <v>23611.22</v>
      </c>
      <c r="P86">
        <v>2166902217</v>
      </c>
      <c r="W86">
        <v>8080</v>
      </c>
      <c r="X86">
        <v>88.7</v>
      </c>
      <c r="Y86">
        <v>3241</v>
      </c>
      <c r="Z86">
        <v>95.7</v>
      </c>
      <c r="AA86">
        <v>4839</v>
      </c>
      <c r="AB86">
        <v>84.1</v>
      </c>
      <c r="AC86">
        <v>58909048832</v>
      </c>
      <c r="AD86">
        <v>49844404224</v>
      </c>
      <c r="AE86">
        <v>9064641536</v>
      </c>
      <c r="AF86">
        <v>20197</v>
      </c>
      <c r="AG86">
        <v>15.49</v>
      </c>
      <c r="AJ86">
        <v>51.69</v>
      </c>
      <c r="AK86">
        <v>192.47762432758199</v>
      </c>
      <c r="AL86">
        <f t="shared" si="1"/>
        <v>9530.0106118523545</v>
      </c>
    </row>
    <row r="87" spans="1:38" x14ac:dyDescent="0.3">
      <c r="A87" t="s">
        <v>53</v>
      </c>
      <c r="B87" t="s">
        <v>54</v>
      </c>
      <c r="C87">
        <v>2021</v>
      </c>
      <c r="D87">
        <v>97.2</v>
      </c>
      <c r="E87">
        <v>97.43</v>
      </c>
      <c r="F87">
        <v>96.83</v>
      </c>
      <c r="G87">
        <v>97.2</v>
      </c>
      <c r="H87">
        <v>97.43</v>
      </c>
      <c r="I87">
        <v>96.83</v>
      </c>
      <c r="J87">
        <v>1.6</v>
      </c>
      <c r="K87">
        <v>1.6</v>
      </c>
      <c r="L87">
        <v>1.6</v>
      </c>
      <c r="M87">
        <v>47</v>
      </c>
      <c r="N87">
        <v>209907.52</v>
      </c>
      <c r="O87">
        <v>68733.33</v>
      </c>
      <c r="P87">
        <v>7955670016</v>
      </c>
      <c r="Q87">
        <v>14976</v>
      </c>
      <c r="R87">
        <v>13718</v>
      </c>
      <c r="S87">
        <v>91.6</v>
      </c>
      <c r="T87">
        <v>7716</v>
      </c>
      <c r="U87">
        <v>7381</v>
      </c>
      <c r="V87">
        <v>95.7</v>
      </c>
      <c r="W87">
        <v>49874</v>
      </c>
      <c r="X87">
        <v>92.6</v>
      </c>
      <c r="Y87">
        <v>33203</v>
      </c>
      <c r="Z87">
        <v>96.4</v>
      </c>
      <c r="AA87">
        <v>16671</v>
      </c>
      <c r="AB87">
        <v>85</v>
      </c>
      <c r="AC87">
        <v>910498267136</v>
      </c>
      <c r="AD87">
        <v>320679215104</v>
      </c>
      <c r="AE87">
        <v>589819019264</v>
      </c>
      <c r="AF87">
        <v>128586</v>
      </c>
      <c r="AG87">
        <v>22.06</v>
      </c>
      <c r="AH87">
        <v>19.8</v>
      </c>
      <c r="AI87">
        <v>52.79</v>
      </c>
      <c r="AJ87">
        <v>116.46</v>
      </c>
      <c r="AK87">
        <v>2365.89787117379</v>
      </c>
      <c r="AL87">
        <f t="shared" si="1"/>
        <v>18399.342628076072</v>
      </c>
    </row>
    <row r="88" spans="1:38" x14ac:dyDescent="0.3">
      <c r="A88" t="s">
        <v>55</v>
      </c>
      <c r="B88" t="s">
        <v>56</v>
      </c>
      <c r="C88">
        <v>2021</v>
      </c>
      <c r="E88">
        <v>0</v>
      </c>
      <c r="H88">
        <v>0</v>
      </c>
      <c r="M88">
        <v>65</v>
      </c>
      <c r="N88">
        <v>361117.47</v>
      </c>
      <c r="O88">
        <v>28699.78</v>
      </c>
      <c r="P88">
        <v>1701106072</v>
      </c>
      <c r="AC88">
        <v>151655333888</v>
      </c>
      <c r="AD88">
        <v>138983604224</v>
      </c>
      <c r="AE88">
        <v>12671722496</v>
      </c>
      <c r="AF88">
        <v>10239</v>
      </c>
      <c r="AG88">
        <v>21.43</v>
      </c>
      <c r="AH88">
        <v>70.47</v>
      </c>
      <c r="AJ88">
        <v>57.03</v>
      </c>
      <c r="AK88">
        <v>83.61873466232457</v>
      </c>
      <c r="AL88">
        <f t="shared" si="1"/>
        <v>8166.6895851474337</v>
      </c>
    </row>
    <row r="89" spans="1:38" x14ac:dyDescent="0.3">
      <c r="A89" t="s">
        <v>57</v>
      </c>
      <c r="B89" t="s">
        <v>58</v>
      </c>
      <c r="C89">
        <v>2021</v>
      </c>
      <c r="D89">
        <v>33.24</v>
      </c>
      <c r="E89">
        <v>0</v>
      </c>
      <c r="F89">
        <v>83.54</v>
      </c>
      <c r="G89">
        <v>33.24</v>
      </c>
      <c r="H89">
        <v>0</v>
      </c>
      <c r="I89">
        <v>83.54</v>
      </c>
      <c r="J89">
        <v>1.3</v>
      </c>
      <c r="L89">
        <v>1.3</v>
      </c>
      <c r="N89">
        <v>159909.19</v>
      </c>
      <c r="O89">
        <v>24624.52</v>
      </c>
      <c r="P89">
        <v>2778179562</v>
      </c>
      <c r="W89">
        <v>11603</v>
      </c>
      <c r="X89">
        <v>86.3</v>
      </c>
      <c r="Y89">
        <v>4634</v>
      </c>
      <c r="Z89">
        <v>96.6</v>
      </c>
      <c r="AA89">
        <v>6968</v>
      </c>
      <c r="AB89">
        <v>79.400000000000006</v>
      </c>
      <c r="AC89">
        <v>114041634816</v>
      </c>
      <c r="AD89">
        <v>60190687232</v>
      </c>
      <c r="AE89">
        <v>53850951680</v>
      </c>
      <c r="AF89">
        <v>31876</v>
      </c>
      <c r="AG89">
        <v>11.38</v>
      </c>
      <c r="AJ89">
        <v>67.39</v>
      </c>
      <c r="AK89">
        <v>286.13776437086779</v>
      </c>
      <c r="AL89">
        <f t="shared" si="1"/>
        <v>8976.5894205944223</v>
      </c>
    </row>
    <row r="90" spans="1:38" x14ac:dyDescent="0.3">
      <c r="A90" t="s">
        <v>37</v>
      </c>
      <c r="B90" t="s">
        <v>38</v>
      </c>
      <c r="C90">
        <v>2022</v>
      </c>
      <c r="D90">
        <v>89.74</v>
      </c>
      <c r="E90">
        <v>43.67</v>
      </c>
      <c r="F90">
        <v>96.32</v>
      </c>
      <c r="G90">
        <v>87.81</v>
      </c>
      <c r="H90">
        <v>36.9</v>
      </c>
      <c r="I90">
        <v>95.18</v>
      </c>
      <c r="J90">
        <v>3.2</v>
      </c>
      <c r="K90">
        <v>11.2</v>
      </c>
      <c r="L90">
        <v>0</v>
      </c>
      <c r="M90">
        <v>61</v>
      </c>
      <c r="N90">
        <v>367889.86</v>
      </c>
      <c r="O90">
        <v>139576.54999999999</v>
      </c>
      <c r="P90">
        <v>6144697312</v>
      </c>
      <c r="Q90">
        <v>36836</v>
      </c>
      <c r="R90">
        <v>34140</v>
      </c>
      <c r="S90">
        <v>92.7</v>
      </c>
      <c r="T90">
        <v>32329</v>
      </c>
      <c r="U90">
        <v>30943</v>
      </c>
      <c r="V90">
        <v>95.7</v>
      </c>
      <c r="W90">
        <v>48186</v>
      </c>
      <c r="X90">
        <v>97.1</v>
      </c>
      <c r="Y90">
        <v>43072</v>
      </c>
      <c r="Z90">
        <v>97.7</v>
      </c>
      <c r="AA90">
        <v>5114</v>
      </c>
      <c r="AB90">
        <v>91.7</v>
      </c>
      <c r="AC90">
        <v>1255232241664</v>
      </c>
      <c r="AD90">
        <v>395533221888</v>
      </c>
      <c r="AE90">
        <v>859698954240</v>
      </c>
      <c r="AF90">
        <v>123578</v>
      </c>
      <c r="AG90">
        <v>10.17</v>
      </c>
      <c r="AJ90">
        <v>223.14</v>
      </c>
      <c r="AK90">
        <v>2568.942684475644</v>
      </c>
      <c r="AL90">
        <f t="shared" si="1"/>
        <v>20788.026060266748</v>
      </c>
    </row>
    <row r="91" spans="1:38" x14ac:dyDescent="0.3">
      <c r="A91" t="s">
        <v>39</v>
      </c>
      <c r="B91" t="s">
        <v>40</v>
      </c>
      <c r="C91">
        <v>2022</v>
      </c>
      <c r="E91">
        <v>0</v>
      </c>
      <c r="H91">
        <v>0</v>
      </c>
      <c r="J91">
        <v>0.4</v>
      </c>
      <c r="L91">
        <v>0.4</v>
      </c>
      <c r="M91">
        <v>60</v>
      </c>
      <c r="N91">
        <v>204537.3</v>
      </c>
      <c r="O91">
        <v>29123.79</v>
      </c>
      <c r="P91">
        <v>2660883380</v>
      </c>
      <c r="W91">
        <v>11380</v>
      </c>
      <c r="X91">
        <v>86.7</v>
      </c>
      <c r="Y91">
        <v>4956</v>
      </c>
      <c r="Z91">
        <v>96.6</v>
      </c>
      <c r="AA91">
        <v>6424</v>
      </c>
      <c r="AB91">
        <v>79.099999999999994</v>
      </c>
      <c r="AC91">
        <v>296791539712</v>
      </c>
      <c r="AD91">
        <v>243609206784</v>
      </c>
      <c r="AE91">
        <v>53182320640</v>
      </c>
      <c r="AF91">
        <v>30853</v>
      </c>
      <c r="AG91">
        <v>8.9</v>
      </c>
      <c r="AJ91">
        <v>89</v>
      </c>
      <c r="AK91">
        <v>325.3270061982717</v>
      </c>
      <c r="AL91">
        <f t="shared" si="1"/>
        <v>10544.420516587421</v>
      </c>
    </row>
    <row r="92" spans="1:38" x14ac:dyDescent="0.3">
      <c r="A92" t="s">
        <v>41</v>
      </c>
      <c r="B92" t="s">
        <v>42</v>
      </c>
      <c r="C92">
        <v>2022</v>
      </c>
      <c r="D92">
        <v>80.540000000000006</v>
      </c>
      <c r="E92">
        <v>33.14</v>
      </c>
      <c r="F92">
        <v>100</v>
      </c>
      <c r="G92">
        <v>80.540000000000006</v>
      </c>
      <c r="H92">
        <v>33.15</v>
      </c>
      <c r="I92">
        <v>100</v>
      </c>
      <c r="J92">
        <v>0.4</v>
      </c>
      <c r="L92">
        <v>0.4</v>
      </c>
      <c r="M92">
        <v>53</v>
      </c>
      <c r="N92">
        <v>357590.25</v>
      </c>
      <c r="O92">
        <v>111594.92</v>
      </c>
      <c r="P92">
        <v>2441822796</v>
      </c>
      <c r="Q92">
        <v>12252</v>
      </c>
      <c r="R92">
        <v>11237</v>
      </c>
      <c r="S92">
        <v>91.7</v>
      </c>
      <c r="T92">
        <v>11954</v>
      </c>
      <c r="U92">
        <v>11415</v>
      </c>
      <c r="V92">
        <v>95.5</v>
      </c>
      <c r="W92">
        <v>19483</v>
      </c>
      <c r="X92">
        <v>96.4</v>
      </c>
      <c r="Y92">
        <v>13950</v>
      </c>
      <c r="Z92">
        <v>97.5</v>
      </c>
      <c r="AA92">
        <v>5533</v>
      </c>
      <c r="AB92">
        <v>93.5</v>
      </c>
      <c r="AC92">
        <v>406496116736</v>
      </c>
      <c r="AD92">
        <v>174629158912</v>
      </c>
      <c r="AE92">
        <v>231866974208</v>
      </c>
      <c r="AF92">
        <v>49891</v>
      </c>
      <c r="AG92">
        <v>9.92</v>
      </c>
      <c r="AJ92">
        <v>174.57</v>
      </c>
      <c r="AK92">
        <v>1243.9977530930701</v>
      </c>
      <c r="AL92">
        <f t="shared" si="1"/>
        <v>24934.311861719951</v>
      </c>
    </row>
    <row r="93" spans="1:38" x14ac:dyDescent="0.3">
      <c r="A93" t="s">
        <v>43</v>
      </c>
      <c r="B93" t="s">
        <v>44</v>
      </c>
      <c r="C93">
        <v>2022</v>
      </c>
      <c r="D93">
        <v>80.56</v>
      </c>
      <c r="E93">
        <v>6.02</v>
      </c>
      <c r="F93">
        <v>97.83</v>
      </c>
      <c r="G93">
        <v>80.36</v>
      </c>
      <c r="H93">
        <v>6.02</v>
      </c>
      <c r="I93">
        <v>97.8</v>
      </c>
      <c r="J93">
        <v>1.5</v>
      </c>
      <c r="L93">
        <v>1.5</v>
      </c>
      <c r="M93">
        <v>58</v>
      </c>
      <c r="N93">
        <v>278519.27</v>
      </c>
      <c r="O93">
        <v>100607.05</v>
      </c>
      <c r="P93">
        <v>3515280033</v>
      </c>
      <c r="Q93">
        <v>16883</v>
      </c>
      <c r="R93">
        <v>15950</v>
      </c>
      <c r="S93">
        <v>94.5</v>
      </c>
      <c r="T93">
        <v>13677</v>
      </c>
      <c r="U93">
        <v>13259</v>
      </c>
      <c r="V93">
        <v>96.9</v>
      </c>
      <c r="W93">
        <v>23817</v>
      </c>
      <c r="X93">
        <v>96.8</v>
      </c>
      <c r="Y93">
        <v>19650</v>
      </c>
      <c r="Z93">
        <v>98.2</v>
      </c>
      <c r="AA93">
        <v>4167</v>
      </c>
      <c r="AB93">
        <v>90.1</v>
      </c>
      <c r="AC93">
        <v>704314081280</v>
      </c>
      <c r="AD93">
        <v>336239132672</v>
      </c>
      <c r="AE93">
        <v>368074915840</v>
      </c>
      <c r="AF93">
        <v>57122</v>
      </c>
      <c r="AG93">
        <v>12.23</v>
      </c>
      <c r="AI93">
        <v>35.82</v>
      </c>
      <c r="AJ93">
        <v>317.58999999999997</v>
      </c>
      <c r="AK93">
        <v>1165.750303710985</v>
      </c>
      <c r="AL93">
        <f t="shared" si="1"/>
        <v>20408.079263873551</v>
      </c>
    </row>
    <row r="94" spans="1:38" x14ac:dyDescent="0.3">
      <c r="A94" t="s">
        <v>45</v>
      </c>
      <c r="B94" t="s">
        <v>46</v>
      </c>
      <c r="C94">
        <v>2022</v>
      </c>
      <c r="D94">
        <v>0</v>
      </c>
      <c r="E94">
        <v>0</v>
      </c>
      <c r="F94">
        <v>0</v>
      </c>
      <c r="M94">
        <v>51</v>
      </c>
      <c r="N94">
        <v>287166.27</v>
      </c>
      <c r="O94">
        <v>25632.16</v>
      </c>
      <c r="P94">
        <v>1766109480</v>
      </c>
      <c r="AC94">
        <v>127487475712</v>
      </c>
      <c r="AD94">
        <v>125946798080</v>
      </c>
      <c r="AE94">
        <v>1540684544</v>
      </c>
      <c r="AF94">
        <v>5508</v>
      </c>
      <c r="AG94">
        <v>86.42</v>
      </c>
      <c r="AH94">
        <v>109.65</v>
      </c>
      <c r="AI94">
        <v>109.65</v>
      </c>
      <c r="AJ94">
        <v>96.53</v>
      </c>
      <c r="AK94">
        <v>46.229107255880457</v>
      </c>
      <c r="AL94">
        <f t="shared" si="1"/>
        <v>8393.0841060058938</v>
      </c>
    </row>
    <row r="95" spans="1:38" x14ac:dyDescent="0.3">
      <c r="A95" t="s">
        <v>47</v>
      </c>
      <c r="B95" t="s">
        <v>48</v>
      </c>
      <c r="C95">
        <v>2022</v>
      </c>
      <c r="D95">
        <v>28.36</v>
      </c>
      <c r="E95">
        <v>36.35</v>
      </c>
      <c r="F95">
        <v>0.87</v>
      </c>
      <c r="G95">
        <v>28.36</v>
      </c>
      <c r="H95">
        <v>36.35</v>
      </c>
      <c r="I95">
        <v>0.87</v>
      </c>
      <c r="J95">
        <v>3.9</v>
      </c>
      <c r="L95">
        <v>3.9</v>
      </c>
      <c r="M95">
        <v>58</v>
      </c>
      <c r="N95">
        <v>464962.88</v>
      </c>
      <c r="O95">
        <v>142132.22</v>
      </c>
      <c r="P95">
        <v>1804321543</v>
      </c>
      <c r="Q95">
        <v>2159</v>
      </c>
      <c r="R95">
        <v>1972</v>
      </c>
      <c r="S95">
        <v>91.3</v>
      </c>
      <c r="T95">
        <v>1906</v>
      </c>
      <c r="U95">
        <v>1845</v>
      </c>
      <c r="V95">
        <v>96.8</v>
      </c>
      <c r="W95">
        <v>5861</v>
      </c>
      <c r="X95">
        <v>93.4</v>
      </c>
      <c r="Y95">
        <v>2675</v>
      </c>
      <c r="Z95">
        <v>96.5</v>
      </c>
      <c r="AA95">
        <v>3186</v>
      </c>
      <c r="AB95">
        <v>90.7</v>
      </c>
      <c r="AC95">
        <v>264078311424</v>
      </c>
      <c r="AD95">
        <v>228774330368</v>
      </c>
      <c r="AE95">
        <v>35303993344</v>
      </c>
      <c r="AF95">
        <v>13960</v>
      </c>
      <c r="AG95">
        <v>19.5</v>
      </c>
      <c r="AH95">
        <v>55.34</v>
      </c>
      <c r="AI95">
        <v>110.68</v>
      </c>
      <c r="AJ95">
        <v>87.61</v>
      </c>
      <c r="AK95">
        <v>251.68852440969559</v>
      </c>
      <c r="AL95">
        <f t="shared" si="1"/>
        <v>18029.263926195959</v>
      </c>
    </row>
    <row r="96" spans="1:38" x14ac:dyDescent="0.3">
      <c r="A96" t="s">
        <v>49</v>
      </c>
      <c r="B96" t="s">
        <v>50</v>
      </c>
      <c r="C96">
        <v>2022</v>
      </c>
      <c r="D96">
        <v>15.5</v>
      </c>
      <c r="E96">
        <v>0.31</v>
      </c>
      <c r="F96">
        <v>63.25</v>
      </c>
      <c r="G96">
        <v>15.5</v>
      </c>
      <c r="H96">
        <v>0.31</v>
      </c>
      <c r="I96">
        <v>63.25</v>
      </c>
      <c r="J96">
        <v>8</v>
      </c>
      <c r="K96">
        <v>0</v>
      </c>
      <c r="L96">
        <v>9.1</v>
      </c>
      <c r="M96">
        <v>55</v>
      </c>
      <c r="N96">
        <v>259098.35</v>
      </c>
      <c r="O96">
        <v>58922.96</v>
      </c>
      <c r="P96">
        <v>3519066279</v>
      </c>
      <c r="Y96">
        <v>8388</v>
      </c>
      <c r="Z96">
        <v>95.2</v>
      </c>
      <c r="AC96">
        <v>561009590272</v>
      </c>
      <c r="AD96">
        <v>394412654592</v>
      </c>
      <c r="AE96">
        <v>166596911606</v>
      </c>
      <c r="AF96">
        <v>42809</v>
      </c>
      <c r="AG96">
        <v>11.96</v>
      </c>
      <c r="AJ96">
        <v>96.7</v>
      </c>
      <c r="AK96">
        <v>642.68604630663231</v>
      </c>
      <c r="AL96">
        <f t="shared" si="1"/>
        <v>15012.872206933876</v>
      </c>
    </row>
    <row r="97" spans="1:38" x14ac:dyDescent="0.3">
      <c r="A97" t="s">
        <v>51</v>
      </c>
      <c r="B97" t="s">
        <v>52</v>
      </c>
      <c r="C97">
        <v>2022</v>
      </c>
      <c r="D97">
        <v>94.11</v>
      </c>
      <c r="E97">
        <v>91.01</v>
      </c>
      <c r="F97">
        <v>100</v>
      </c>
      <c r="G97">
        <v>39.380000000000003</v>
      </c>
      <c r="H97">
        <v>31.42</v>
      </c>
      <c r="I97">
        <v>54.5</v>
      </c>
      <c r="J97">
        <v>8.1999999999999993</v>
      </c>
      <c r="L97">
        <v>8.1999999999999993</v>
      </c>
      <c r="M97">
        <v>55</v>
      </c>
      <c r="N97">
        <v>199535</v>
      </c>
      <c r="O97">
        <v>26340.91</v>
      </c>
      <c r="P97">
        <v>2396202705</v>
      </c>
      <c r="W97">
        <v>8572</v>
      </c>
      <c r="X97">
        <v>89.7</v>
      </c>
      <c r="Y97">
        <v>3496</v>
      </c>
      <c r="Z97">
        <v>96.4</v>
      </c>
      <c r="AA97">
        <v>5076</v>
      </c>
      <c r="AB97">
        <v>85.1</v>
      </c>
      <c r="AC97">
        <v>60852176288</v>
      </c>
      <c r="AD97">
        <v>51362365440</v>
      </c>
      <c r="AE97">
        <v>9489810432</v>
      </c>
      <c r="AF97">
        <v>20155</v>
      </c>
      <c r="AG97">
        <v>28.28</v>
      </c>
      <c r="AJ97">
        <v>64.790000000000006</v>
      </c>
      <c r="AK97">
        <v>226.28535561586489</v>
      </c>
      <c r="AL97">
        <f t="shared" si="1"/>
        <v>11227.256542588186</v>
      </c>
    </row>
    <row r="98" spans="1:38" x14ac:dyDescent="0.3">
      <c r="A98" t="s">
        <v>53</v>
      </c>
      <c r="B98" t="s">
        <v>54</v>
      </c>
      <c r="C98">
        <v>2022</v>
      </c>
      <c r="D98">
        <v>97.2</v>
      </c>
      <c r="E98">
        <v>97.43</v>
      </c>
      <c r="F98">
        <v>96.83</v>
      </c>
      <c r="G98">
        <v>97.2</v>
      </c>
      <c r="H98">
        <v>97.43</v>
      </c>
      <c r="I98">
        <v>96.83</v>
      </c>
      <c r="J98">
        <v>0.4</v>
      </c>
      <c r="K98">
        <v>3.45</v>
      </c>
      <c r="L98">
        <v>0.6</v>
      </c>
      <c r="M98">
        <v>41</v>
      </c>
      <c r="N98">
        <v>227782.17</v>
      </c>
      <c r="O98">
        <v>81830.13</v>
      </c>
      <c r="P98">
        <v>7403584572</v>
      </c>
      <c r="Q98">
        <v>15444</v>
      </c>
      <c r="R98">
        <v>12263</v>
      </c>
      <c r="S98">
        <v>79.400000000000006</v>
      </c>
      <c r="T98">
        <v>8805</v>
      </c>
      <c r="W98">
        <v>52411</v>
      </c>
      <c r="X98">
        <v>92.6</v>
      </c>
      <c r="Y98">
        <v>34980</v>
      </c>
      <c r="Z98">
        <v>96.1</v>
      </c>
      <c r="AA98">
        <v>17431</v>
      </c>
      <c r="AB98">
        <v>85.5</v>
      </c>
      <c r="AC98">
        <v>930625028096</v>
      </c>
      <c r="AD98">
        <v>324091248640</v>
      </c>
      <c r="AE98">
        <v>606533779456</v>
      </c>
      <c r="AF98">
        <v>128982</v>
      </c>
      <c r="AG98">
        <v>13.66</v>
      </c>
      <c r="AH98">
        <v>20.58</v>
      </c>
      <c r="AJ98">
        <v>172.78</v>
      </c>
      <c r="AK98">
        <v>2551.87098372829</v>
      </c>
      <c r="AL98">
        <f t="shared" si="1"/>
        <v>19784.706266985238</v>
      </c>
    </row>
    <row r="99" spans="1:38" x14ac:dyDescent="0.3">
      <c r="A99" t="s">
        <v>55</v>
      </c>
      <c r="B99" t="s">
        <v>56</v>
      </c>
      <c r="C99">
        <v>2022</v>
      </c>
      <c r="E99">
        <v>0</v>
      </c>
      <c r="H99">
        <v>0</v>
      </c>
      <c r="M99">
        <v>49</v>
      </c>
      <c r="N99">
        <v>390113.93</v>
      </c>
      <c r="O99">
        <v>23245.77</v>
      </c>
      <c r="P99">
        <v>1959950200</v>
      </c>
      <c r="AC99">
        <v>156204988274</v>
      </c>
      <c r="AD99">
        <v>143153114143</v>
      </c>
      <c r="AE99">
        <v>13051874131</v>
      </c>
      <c r="AF99">
        <v>10528</v>
      </c>
      <c r="AG99">
        <v>86.42</v>
      </c>
      <c r="AI99">
        <v>72.78</v>
      </c>
      <c r="AJ99">
        <v>54.44</v>
      </c>
      <c r="AK99">
        <v>91.913506503529419</v>
      </c>
      <c r="AL99">
        <f t="shared" si="1"/>
        <v>8730.3862560343296</v>
      </c>
    </row>
    <row r="100" spans="1:38" x14ac:dyDescent="0.3">
      <c r="A100" t="s">
        <v>57</v>
      </c>
      <c r="B100" t="s">
        <v>58</v>
      </c>
      <c r="C100">
        <v>2022</v>
      </c>
      <c r="D100">
        <v>35.270000000000003</v>
      </c>
      <c r="E100">
        <v>3.66</v>
      </c>
      <c r="F100">
        <v>81.7</v>
      </c>
      <c r="G100">
        <v>33.1</v>
      </c>
      <c r="H100">
        <v>0</v>
      </c>
      <c r="I100">
        <v>81.7</v>
      </c>
      <c r="J100">
        <v>0.4</v>
      </c>
      <c r="L100">
        <v>0.4</v>
      </c>
      <c r="M100">
        <v>50</v>
      </c>
      <c r="N100">
        <v>188028.23</v>
      </c>
      <c r="O100">
        <v>41320.639999999999</v>
      </c>
      <c r="P100">
        <v>2932596314</v>
      </c>
      <c r="W100">
        <v>12110</v>
      </c>
      <c r="X100">
        <v>87</v>
      </c>
      <c r="Y100">
        <v>4898</v>
      </c>
      <c r="Z100">
        <v>96.7</v>
      </c>
      <c r="AA100">
        <v>7212</v>
      </c>
      <c r="AB100">
        <v>80.400000000000006</v>
      </c>
      <c r="AC100">
        <v>106166034432</v>
      </c>
      <c r="AD100">
        <v>50228514816</v>
      </c>
      <c r="AE100">
        <v>55937519616</v>
      </c>
      <c r="AF100">
        <v>32053</v>
      </c>
      <c r="AG100">
        <v>20.52</v>
      </c>
      <c r="AJ100">
        <v>72.400000000000006</v>
      </c>
      <c r="AK100">
        <v>308.71574389035311</v>
      </c>
      <c r="AL100">
        <f t="shared" si="1"/>
        <v>9631.4149655368637</v>
      </c>
    </row>
    <row r="101" spans="1:38" x14ac:dyDescent="0.3">
      <c r="A101" t="s">
        <v>37</v>
      </c>
      <c r="B101" t="s">
        <v>38</v>
      </c>
      <c r="C101">
        <v>2023</v>
      </c>
      <c r="D101">
        <v>89.44</v>
      </c>
      <c r="E101">
        <v>43.46</v>
      </c>
      <c r="F101">
        <v>96.02</v>
      </c>
      <c r="G101">
        <v>87.5</v>
      </c>
      <c r="H101">
        <v>36.72</v>
      </c>
      <c r="I101">
        <v>94.88</v>
      </c>
      <c r="J101">
        <v>0</v>
      </c>
      <c r="K101">
        <v>12.5</v>
      </c>
      <c r="L101">
        <v>0</v>
      </c>
      <c r="M101">
        <v>52</v>
      </c>
      <c r="N101">
        <v>0.44</v>
      </c>
      <c r="O101">
        <v>0.17</v>
      </c>
      <c r="P101">
        <v>6068728837</v>
      </c>
      <c r="Q101">
        <v>38880</v>
      </c>
      <c r="R101">
        <v>35747</v>
      </c>
      <c r="S101">
        <v>91.9</v>
      </c>
      <c r="T101">
        <v>34568</v>
      </c>
      <c r="U101">
        <v>32898</v>
      </c>
      <c r="V101">
        <v>95.2</v>
      </c>
      <c r="W101">
        <v>50387</v>
      </c>
      <c r="X101">
        <v>96.4</v>
      </c>
      <c r="Y101">
        <v>44786</v>
      </c>
      <c r="Z101">
        <v>97.3</v>
      </c>
      <c r="AA101">
        <v>5601</v>
      </c>
      <c r="AB101">
        <v>89.7</v>
      </c>
      <c r="AC101">
        <v>1303591518208</v>
      </c>
      <c r="AD101">
        <v>407428169728</v>
      </c>
      <c r="AE101">
        <v>896163315712</v>
      </c>
      <c r="AF101">
        <v>124339</v>
      </c>
      <c r="AG101">
        <v>12.07</v>
      </c>
      <c r="AI101">
        <v>9.2200000000000006</v>
      </c>
      <c r="AJ101">
        <v>344.52</v>
      </c>
      <c r="AK101">
        <v>2555.3706881354319</v>
      </c>
      <c r="AL101">
        <f t="shared" si="1"/>
        <v>20551.642591105217</v>
      </c>
    </row>
    <row r="102" spans="1:38" x14ac:dyDescent="0.3">
      <c r="A102" t="s">
        <v>39</v>
      </c>
      <c r="B102" t="s">
        <v>40</v>
      </c>
      <c r="C102">
        <v>2023</v>
      </c>
      <c r="E102">
        <v>0</v>
      </c>
      <c r="H102">
        <v>0</v>
      </c>
      <c r="J102">
        <v>0.9</v>
      </c>
      <c r="L102">
        <v>0.9</v>
      </c>
      <c r="M102">
        <v>47</v>
      </c>
      <c r="N102">
        <v>0.24</v>
      </c>
      <c r="O102">
        <v>0.06</v>
      </c>
      <c r="P102">
        <v>3121058862</v>
      </c>
      <c r="W102">
        <v>11829</v>
      </c>
      <c r="X102">
        <v>86.7</v>
      </c>
      <c r="Y102">
        <v>5144</v>
      </c>
      <c r="Z102">
        <v>96.1</v>
      </c>
      <c r="AA102">
        <v>6685</v>
      </c>
      <c r="AB102">
        <v>79.5</v>
      </c>
      <c r="AC102">
        <v>306691244032</v>
      </c>
      <c r="AD102">
        <v>251127496704</v>
      </c>
      <c r="AE102">
        <v>55563726848</v>
      </c>
      <c r="AF102">
        <v>31150</v>
      </c>
      <c r="AG102">
        <v>10.36</v>
      </c>
      <c r="AJ102">
        <v>71.98</v>
      </c>
      <c r="AK102">
        <v>349.27956524990668</v>
      </c>
      <c r="AL102">
        <f t="shared" si="1"/>
        <v>11212.827134828463</v>
      </c>
    </row>
    <row r="103" spans="1:38" x14ac:dyDescent="0.3">
      <c r="A103" t="s">
        <v>41</v>
      </c>
      <c r="B103" t="s">
        <v>42</v>
      </c>
      <c r="C103">
        <v>2023</v>
      </c>
      <c r="D103">
        <v>80.540000000000006</v>
      </c>
      <c r="E103">
        <v>39.479999999999997</v>
      </c>
      <c r="F103">
        <v>99.94</v>
      </c>
      <c r="G103">
        <v>80.540000000000006</v>
      </c>
      <c r="H103">
        <v>39.49</v>
      </c>
      <c r="I103">
        <v>99.94</v>
      </c>
      <c r="J103">
        <v>0.6</v>
      </c>
      <c r="L103">
        <v>0.6</v>
      </c>
      <c r="M103">
        <v>56</v>
      </c>
      <c r="N103">
        <v>0.39</v>
      </c>
      <c r="O103">
        <v>0.14000000000000001</v>
      </c>
      <c r="P103">
        <v>2738697559</v>
      </c>
      <c r="Q103">
        <v>12596</v>
      </c>
      <c r="R103">
        <v>11411</v>
      </c>
      <c r="S103">
        <v>90.6</v>
      </c>
      <c r="T103">
        <v>12305</v>
      </c>
      <c r="U103">
        <v>11583</v>
      </c>
      <c r="V103">
        <v>94.1</v>
      </c>
      <c r="W103">
        <v>20763</v>
      </c>
      <c r="X103">
        <v>95.5</v>
      </c>
      <c r="Y103">
        <v>14750</v>
      </c>
      <c r="Z103">
        <v>97.1</v>
      </c>
      <c r="AA103">
        <v>6013</v>
      </c>
      <c r="AB103">
        <v>91.7</v>
      </c>
      <c r="AC103">
        <v>615952941056</v>
      </c>
      <c r="AD103">
        <v>373796569088</v>
      </c>
      <c r="AE103">
        <v>242156355584</v>
      </c>
      <c r="AF103">
        <v>50303</v>
      </c>
      <c r="AG103">
        <v>7.28</v>
      </c>
      <c r="AH103">
        <v>21.56</v>
      </c>
      <c r="AJ103">
        <v>648.6</v>
      </c>
      <c r="AK103">
        <v>1210.517005308338</v>
      </c>
      <c r="AL103">
        <f t="shared" si="1"/>
        <v>24064.509180532732</v>
      </c>
    </row>
    <row r="104" spans="1:38" x14ac:dyDescent="0.3">
      <c r="A104" t="s">
        <v>43</v>
      </c>
      <c r="B104" t="s">
        <v>44</v>
      </c>
      <c r="C104">
        <v>2023</v>
      </c>
      <c r="D104">
        <v>71.48</v>
      </c>
      <c r="E104">
        <v>1.62</v>
      </c>
      <c r="F104">
        <v>87.66</v>
      </c>
      <c r="G104">
        <v>71.2</v>
      </c>
      <c r="H104">
        <v>1.62</v>
      </c>
      <c r="I104">
        <v>87.5</v>
      </c>
      <c r="J104">
        <v>0</v>
      </c>
      <c r="L104">
        <v>0</v>
      </c>
      <c r="M104">
        <v>62</v>
      </c>
      <c r="N104">
        <v>0.35</v>
      </c>
      <c r="O104">
        <v>0.11</v>
      </c>
      <c r="P104">
        <v>3547154990</v>
      </c>
      <c r="Q104">
        <v>17364</v>
      </c>
      <c r="R104">
        <v>11411</v>
      </c>
      <c r="S104">
        <v>65.7</v>
      </c>
      <c r="T104">
        <v>14275</v>
      </c>
      <c r="U104">
        <v>13737</v>
      </c>
      <c r="V104">
        <v>96.2</v>
      </c>
      <c r="W104">
        <v>24879</v>
      </c>
      <c r="X104">
        <v>95.7</v>
      </c>
      <c r="Y104">
        <v>20327</v>
      </c>
      <c r="Z104">
        <v>97.7</v>
      </c>
      <c r="AA104">
        <v>4552</v>
      </c>
      <c r="AB104">
        <v>86.7</v>
      </c>
      <c r="AC104">
        <v>732586115072</v>
      </c>
      <c r="AD104">
        <v>347040514048</v>
      </c>
      <c r="AE104">
        <v>385545633792</v>
      </c>
      <c r="AF104">
        <v>57067</v>
      </c>
      <c r="AG104">
        <v>15.1</v>
      </c>
      <c r="AH104">
        <v>18.21</v>
      </c>
      <c r="AI104">
        <v>18.21</v>
      </c>
      <c r="AJ104">
        <v>574.36</v>
      </c>
      <c r="AK104">
        <v>1234.885849096501</v>
      </c>
      <c r="AL104">
        <f t="shared" si="1"/>
        <v>21639.228434936147</v>
      </c>
    </row>
    <row r="105" spans="1:38" x14ac:dyDescent="0.3">
      <c r="A105" t="s">
        <v>45</v>
      </c>
      <c r="B105" t="s">
        <v>46</v>
      </c>
      <c r="C105">
        <v>2023</v>
      </c>
      <c r="M105">
        <v>47</v>
      </c>
      <c r="N105">
        <v>0.32</v>
      </c>
      <c r="O105">
        <v>0.01</v>
      </c>
      <c r="P105">
        <v>2090252329</v>
      </c>
      <c r="AC105">
        <v>131332284416</v>
      </c>
      <c r="AD105">
        <v>129725202432</v>
      </c>
      <c r="AE105">
        <v>1607088000</v>
      </c>
      <c r="AF105">
        <v>5636</v>
      </c>
      <c r="AG105">
        <v>28.85</v>
      </c>
      <c r="AH105">
        <v>111.86</v>
      </c>
      <c r="AI105">
        <v>111.86</v>
      </c>
      <c r="AJ105">
        <v>231.7</v>
      </c>
      <c r="AK105">
        <v>47.274004381349187</v>
      </c>
      <c r="AL105">
        <f t="shared" si="1"/>
        <v>8387.8645105303731</v>
      </c>
    </row>
    <row r="106" spans="1:38" x14ac:dyDescent="0.3">
      <c r="A106" t="s">
        <v>47</v>
      </c>
      <c r="B106" t="s">
        <v>48</v>
      </c>
      <c r="C106">
        <v>2023</v>
      </c>
      <c r="D106">
        <v>28.4</v>
      </c>
      <c r="E106">
        <v>36.409999999999997</v>
      </c>
      <c r="F106">
        <v>0.87</v>
      </c>
      <c r="G106">
        <v>28.4</v>
      </c>
      <c r="H106">
        <v>36.409999999999997</v>
      </c>
      <c r="I106">
        <v>0.87</v>
      </c>
      <c r="J106">
        <v>1.5</v>
      </c>
      <c r="L106">
        <v>1.5</v>
      </c>
      <c r="M106">
        <v>56</v>
      </c>
      <c r="N106">
        <v>0.36</v>
      </c>
      <c r="O106">
        <v>0.1</v>
      </c>
      <c r="P106">
        <v>1987297577</v>
      </c>
      <c r="Q106">
        <v>2227</v>
      </c>
      <c r="R106">
        <v>1992</v>
      </c>
      <c r="S106">
        <v>89.4</v>
      </c>
      <c r="T106">
        <v>2014</v>
      </c>
      <c r="U106">
        <v>1916</v>
      </c>
      <c r="V106">
        <v>95.1</v>
      </c>
      <c r="W106">
        <v>6464</v>
      </c>
      <c r="X106">
        <v>91.4</v>
      </c>
      <c r="Y106">
        <v>2852</v>
      </c>
      <c r="Z106">
        <v>94.8</v>
      </c>
      <c r="AA106">
        <v>3612</v>
      </c>
      <c r="AB106">
        <v>88.8</v>
      </c>
      <c r="AC106">
        <v>272462266368</v>
      </c>
      <c r="AD106">
        <v>235635195904</v>
      </c>
      <c r="AE106">
        <v>36827066368</v>
      </c>
      <c r="AF106">
        <v>13895</v>
      </c>
      <c r="AG106">
        <v>13.75</v>
      </c>
      <c r="AJ106">
        <v>517.62</v>
      </c>
      <c r="AK106">
        <v>272.9932547570142</v>
      </c>
      <c r="AL106">
        <f t="shared" si="1"/>
        <v>19646.869719828297</v>
      </c>
    </row>
    <row r="107" spans="1:38" x14ac:dyDescent="0.3">
      <c r="A107" t="s">
        <v>49</v>
      </c>
      <c r="B107" t="s">
        <v>50</v>
      </c>
      <c r="C107">
        <v>2023</v>
      </c>
      <c r="D107">
        <v>16.29</v>
      </c>
      <c r="E107">
        <v>0.02</v>
      </c>
      <c r="F107">
        <v>63.33</v>
      </c>
      <c r="G107">
        <v>16.29</v>
      </c>
      <c r="H107">
        <v>0.02</v>
      </c>
      <c r="I107">
        <v>63.33</v>
      </c>
      <c r="J107">
        <v>5.0999999999999996</v>
      </c>
      <c r="K107">
        <v>0</v>
      </c>
      <c r="L107">
        <v>5.0999999999999996</v>
      </c>
      <c r="M107">
        <v>56</v>
      </c>
      <c r="N107">
        <v>0.26</v>
      </c>
      <c r="O107">
        <v>0.08</v>
      </c>
      <c r="P107">
        <v>4088472173</v>
      </c>
      <c r="W107">
        <v>20292</v>
      </c>
      <c r="X107">
        <v>83.2</v>
      </c>
      <c r="Y107">
        <v>8382</v>
      </c>
      <c r="Z107">
        <v>95</v>
      </c>
      <c r="AA107">
        <v>11909</v>
      </c>
      <c r="AB107">
        <v>74.900000000000006</v>
      </c>
      <c r="AC107">
        <v>583046004736</v>
      </c>
      <c r="AD107">
        <v>407658921984</v>
      </c>
      <c r="AE107">
        <v>175387115520</v>
      </c>
      <c r="AF107">
        <v>42628</v>
      </c>
      <c r="AG107">
        <v>15.82</v>
      </c>
      <c r="AJ107">
        <v>296.45</v>
      </c>
      <c r="AK107">
        <v>694.8752755226426</v>
      </c>
      <c r="AL107">
        <f t="shared" si="1"/>
        <v>16300.911971536141</v>
      </c>
    </row>
    <row r="108" spans="1:38" x14ac:dyDescent="0.3">
      <c r="A108" t="s">
        <v>51</v>
      </c>
      <c r="B108" t="s">
        <v>52</v>
      </c>
      <c r="C108">
        <v>2023</v>
      </c>
      <c r="D108">
        <v>94.11</v>
      </c>
      <c r="E108">
        <v>91.01</v>
      </c>
      <c r="F108">
        <v>100</v>
      </c>
      <c r="G108">
        <v>39.380000000000003</v>
      </c>
      <c r="H108">
        <v>31.42</v>
      </c>
      <c r="I108">
        <v>54.5</v>
      </c>
      <c r="J108">
        <v>7.2</v>
      </c>
      <c r="L108">
        <v>7.2</v>
      </c>
      <c r="M108">
        <v>59</v>
      </c>
      <c r="N108">
        <v>0.28000000000000003</v>
      </c>
      <c r="O108">
        <v>0.04</v>
      </c>
      <c r="P108">
        <v>2690684158</v>
      </c>
      <c r="W108">
        <v>9112</v>
      </c>
      <c r="X108">
        <v>89.6</v>
      </c>
      <c r="Y108">
        <v>3753</v>
      </c>
      <c r="Z108">
        <v>96.1</v>
      </c>
      <c r="AA108">
        <v>5359</v>
      </c>
      <c r="AB108">
        <v>85</v>
      </c>
      <c r="AC108">
        <v>63003602944</v>
      </c>
      <c r="AD108">
        <v>52959014912</v>
      </c>
      <c r="AE108">
        <v>10044589056</v>
      </c>
      <c r="AF108">
        <v>20094</v>
      </c>
      <c r="AG108">
        <v>13.1</v>
      </c>
      <c r="AJ108">
        <v>401</v>
      </c>
      <c r="AK108">
        <v>246.41935613012879</v>
      </c>
      <c r="AL108">
        <f t="shared" si="1"/>
        <v>12263.33015477898</v>
      </c>
    </row>
    <row r="109" spans="1:38" x14ac:dyDescent="0.3">
      <c r="A109" t="s">
        <v>53</v>
      </c>
      <c r="B109" t="s">
        <v>54</v>
      </c>
      <c r="C109">
        <v>2023</v>
      </c>
      <c r="D109">
        <v>97.2</v>
      </c>
      <c r="E109">
        <v>97.43</v>
      </c>
      <c r="F109">
        <v>96.83</v>
      </c>
      <c r="G109">
        <v>97.2</v>
      </c>
      <c r="H109">
        <v>97.43</v>
      </c>
      <c r="I109">
        <v>96.83</v>
      </c>
      <c r="J109">
        <v>1.8</v>
      </c>
      <c r="K109">
        <v>5.3</v>
      </c>
      <c r="L109">
        <v>1.2</v>
      </c>
      <c r="M109">
        <v>41</v>
      </c>
      <c r="N109">
        <v>0.22</v>
      </c>
      <c r="O109">
        <v>0.11</v>
      </c>
      <c r="P109">
        <v>8642997744</v>
      </c>
      <c r="Q109">
        <v>15772</v>
      </c>
      <c r="R109">
        <v>12306</v>
      </c>
      <c r="S109">
        <v>78</v>
      </c>
      <c r="T109">
        <v>9305</v>
      </c>
      <c r="U109">
        <v>8072</v>
      </c>
      <c r="V109">
        <v>86.7</v>
      </c>
      <c r="W109">
        <v>55109</v>
      </c>
      <c r="X109">
        <v>91.8</v>
      </c>
      <c r="Y109">
        <v>36251</v>
      </c>
      <c r="Z109">
        <v>95.6</v>
      </c>
      <c r="AA109">
        <v>18858</v>
      </c>
      <c r="AB109">
        <v>84.6</v>
      </c>
      <c r="AC109">
        <v>995880861696</v>
      </c>
      <c r="AD109">
        <v>341254471680</v>
      </c>
      <c r="AE109">
        <v>654626390016</v>
      </c>
      <c r="AF109">
        <v>129280</v>
      </c>
      <c r="AG109">
        <v>8.77</v>
      </c>
      <c r="AI109">
        <v>13.94</v>
      </c>
      <c r="AJ109">
        <v>257.38</v>
      </c>
      <c r="AK109">
        <v>2617.1895379238508</v>
      </c>
      <c r="AL109">
        <f t="shared" si="1"/>
        <v>20244.349767356522</v>
      </c>
    </row>
    <row r="110" spans="1:38" x14ac:dyDescent="0.3">
      <c r="A110" t="s">
        <v>55</v>
      </c>
      <c r="B110" t="s">
        <v>56</v>
      </c>
      <c r="C110">
        <v>2023</v>
      </c>
      <c r="E110">
        <v>0</v>
      </c>
      <c r="H110">
        <v>0</v>
      </c>
      <c r="M110">
        <v>65</v>
      </c>
      <c r="N110">
        <v>0.22</v>
      </c>
      <c r="O110">
        <v>0.03</v>
      </c>
      <c r="P110">
        <v>2390942190</v>
      </c>
      <c r="AC110">
        <v>161067974656</v>
      </c>
      <c r="AD110">
        <v>147447709696</v>
      </c>
      <c r="AE110">
        <v>13620263936</v>
      </c>
      <c r="AF110">
        <v>10815</v>
      </c>
      <c r="AG110">
        <v>45.98</v>
      </c>
      <c r="AI110">
        <v>74.069999999999993</v>
      </c>
      <c r="AK110">
        <v>93.723819043061326</v>
      </c>
      <c r="AL110">
        <f t="shared" si="1"/>
        <v>8666.0951496126982</v>
      </c>
    </row>
    <row r="111" spans="1:38" x14ac:dyDescent="0.3">
      <c r="A111" t="s">
        <v>57</v>
      </c>
      <c r="B111" t="s">
        <v>58</v>
      </c>
      <c r="C111">
        <v>2023</v>
      </c>
      <c r="D111">
        <v>35.270000000000003</v>
      </c>
      <c r="E111">
        <v>3.66</v>
      </c>
      <c r="F111">
        <v>81.7</v>
      </c>
      <c r="G111">
        <v>33.1</v>
      </c>
      <c r="H111">
        <v>0</v>
      </c>
      <c r="I111">
        <v>81.7</v>
      </c>
      <c r="J111">
        <v>1.8</v>
      </c>
      <c r="L111">
        <v>1.8</v>
      </c>
      <c r="M111">
        <v>64</v>
      </c>
      <c r="N111">
        <v>0.21</v>
      </c>
      <c r="O111">
        <v>0.04</v>
      </c>
      <c r="P111">
        <v>3509755337</v>
      </c>
      <c r="W111">
        <v>12636</v>
      </c>
      <c r="X111">
        <v>86.3</v>
      </c>
      <c r="Y111">
        <v>5103</v>
      </c>
      <c r="Z111">
        <v>96.5</v>
      </c>
      <c r="AA111">
        <v>7533</v>
      </c>
      <c r="AB111">
        <v>79.400000000000006</v>
      </c>
      <c r="AC111">
        <v>110558806016</v>
      </c>
      <c r="AD111">
        <v>51789148160</v>
      </c>
      <c r="AE111">
        <v>58769657856</v>
      </c>
      <c r="AF111">
        <v>32182</v>
      </c>
      <c r="AG111">
        <v>21.55</v>
      </c>
      <c r="AJ111">
        <v>234.65</v>
      </c>
      <c r="AK111">
        <v>391.94918703242467</v>
      </c>
      <c r="AL111">
        <f t="shared" si="1"/>
        <v>12179.14321771253</v>
      </c>
    </row>
    <row r="112" spans="1:38" x14ac:dyDescent="0.3">
      <c r="A112" t="s">
        <v>37</v>
      </c>
      <c r="B112" t="s">
        <v>38</v>
      </c>
      <c r="C112">
        <v>2024</v>
      </c>
      <c r="D112">
        <v>89.48</v>
      </c>
      <c r="E112">
        <v>44.15</v>
      </c>
      <c r="F112">
        <v>96.03</v>
      </c>
      <c r="G112">
        <v>87.56</v>
      </c>
      <c r="H112">
        <v>37.49</v>
      </c>
      <c r="I112">
        <v>94.89</v>
      </c>
      <c r="J112">
        <v>2.9</v>
      </c>
      <c r="K112">
        <v>13.8</v>
      </c>
      <c r="L112">
        <v>0.4</v>
      </c>
      <c r="M112">
        <v>51.38</v>
      </c>
      <c r="N112">
        <v>0.46</v>
      </c>
      <c r="O112">
        <v>0.19</v>
      </c>
      <c r="P112">
        <v>6606012192</v>
      </c>
      <c r="Q112">
        <v>39822</v>
      </c>
      <c r="R112">
        <v>36141</v>
      </c>
      <c r="S112">
        <v>90.8</v>
      </c>
      <c r="T112">
        <v>35713</v>
      </c>
      <c r="U112">
        <v>33890</v>
      </c>
      <c r="V112">
        <v>94.9</v>
      </c>
      <c r="W112">
        <v>52060</v>
      </c>
      <c r="X112">
        <v>95.4</v>
      </c>
      <c r="Y112">
        <v>46308</v>
      </c>
      <c r="Z112">
        <v>96.6</v>
      </c>
      <c r="AA112">
        <v>5752</v>
      </c>
      <c r="AB112">
        <v>85.7</v>
      </c>
      <c r="AC112">
        <v>1357688245000</v>
      </c>
      <c r="AD112">
        <v>419194118000</v>
      </c>
      <c r="AE112">
        <v>938494127000</v>
      </c>
      <c r="AF112">
        <v>124423</v>
      </c>
      <c r="AG112">
        <v>12.44</v>
      </c>
      <c r="AJ112">
        <v>374.37</v>
      </c>
      <c r="AK112">
        <v>2624.6125124265918</v>
      </c>
      <c r="AL112">
        <f t="shared" si="1"/>
        <v>21094.271255528252</v>
      </c>
    </row>
    <row r="113" spans="1:38" x14ac:dyDescent="0.3">
      <c r="A113" t="s">
        <v>39</v>
      </c>
      <c r="B113" t="s">
        <v>40</v>
      </c>
      <c r="C113">
        <v>2024</v>
      </c>
      <c r="D113">
        <v>55.41</v>
      </c>
      <c r="E113">
        <v>0</v>
      </c>
      <c r="F113">
        <v>99.98</v>
      </c>
      <c r="G113">
        <v>55.41</v>
      </c>
      <c r="H113">
        <v>0</v>
      </c>
      <c r="I113">
        <v>99.98</v>
      </c>
      <c r="J113">
        <v>0</v>
      </c>
      <c r="L113">
        <v>0</v>
      </c>
      <c r="M113">
        <v>58.84</v>
      </c>
      <c r="N113">
        <v>0.25</v>
      </c>
      <c r="O113">
        <v>0.05</v>
      </c>
      <c r="P113">
        <v>4063135768</v>
      </c>
      <c r="W113">
        <v>12216</v>
      </c>
      <c r="X113">
        <v>85.1</v>
      </c>
      <c r="Y113">
        <v>5318</v>
      </c>
      <c r="Z113">
        <v>95.3</v>
      </c>
      <c r="AA113">
        <v>6898</v>
      </c>
      <c r="AB113">
        <v>77.3</v>
      </c>
      <c r="AC113">
        <v>479285369715</v>
      </c>
      <c r="AD113">
        <v>260696493000</v>
      </c>
      <c r="AE113">
        <v>218588876715</v>
      </c>
      <c r="AF113">
        <v>31449</v>
      </c>
      <c r="AG113">
        <v>21.94</v>
      </c>
      <c r="AH113">
        <v>30.36</v>
      </c>
      <c r="AK113">
        <v>358.84822544404392</v>
      </c>
      <c r="AL113">
        <f t="shared" si="1"/>
        <v>11410.481269485323</v>
      </c>
    </row>
    <row r="114" spans="1:38" x14ac:dyDescent="0.3">
      <c r="A114" t="s">
        <v>41</v>
      </c>
      <c r="B114" t="s">
        <v>42</v>
      </c>
      <c r="C114">
        <v>2024</v>
      </c>
      <c r="D114">
        <v>80.540000000000006</v>
      </c>
      <c r="E114">
        <v>39.479999999999997</v>
      </c>
      <c r="F114">
        <v>99.94</v>
      </c>
      <c r="G114">
        <v>80.540000000000006</v>
      </c>
      <c r="H114">
        <v>39.49</v>
      </c>
      <c r="I114">
        <v>99.94</v>
      </c>
      <c r="J114">
        <v>1.4</v>
      </c>
      <c r="K114">
        <v>3.2</v>
      </c>
      <c r="L114">
        <v>0</v>
      </c>
      <c r="M114">
        <v>49.18</v>
      </c>
      <c r="N114">
        <v>0.41</v>
      </c>
      <c r="O114">
        <v>0.18</v>
      </c>
      <c r="P114">
        <v>3244850612</v>
      </c>
      <c r="Q114">
        <v>12947</v>
      </c>
      <c r="R114">
        <v>11572</v>
      </c>
      <c r="S114">
        <v>89.4</v>
      </c>
      <c r="T114">
        <v>12654</v>
      </c>
      <c r="U114">
        <v>11837</v>
      </c>
      <c r="V114">
        <v>93.5</v>
      </c>
      <c r="W114">
        <v>21568</v>
      </c>
      <c r="X114">
        <v>94</v>
      </c>
      <c r="Y114">
        <v>15285</v>
      </c>
      <c r="Z114">
        <v>96.3</v>
      </c>
      <c r="AA114">
        <v>6283</v>
      </c>
      <c r="AB114">
        <v>88.4</v>
      </c>
      <c r="AC114">
        <v>641509050000</v>
      </c>
      <c r="AD114">
        <v>387104401000</v>
      </c>
      <c r="AE114">
        <v>254404649000</v>
      </c>
      <c r="AF114">
        <v>50543</v>
      </c>
      <c r="AG114">
        <v>10.58</v>
      </c>
      <c r="AJ114">
        <v>639.54</v>
      </c>
      <c r="AK114">
        <v>1246.084563040481</v>
      </c>
      <c r="AL114">
        <f t="shared" si="1"/>
        <v>24653.949370644423</v>
      </c>
    </row>
    <row r="115" spans="1:38" x14ac:dyDescent="0.3">
      <c r="A115" t="s">
        <v>43</v>
      </c>
      <c r="B115" t="s">
        <v>44</v>
      </c>
      <c r="C115">
        <v>2024</v>
      </c>
      <c r="D115">
        <v>71.48</v>
      </c>
      <c r="E115">
        <v>1.62</v>
      </c>
      <c r="F115">
        <v>87.66</v>
      </c>
      <c r="G115">
        <v>71.2</v>
      </c>
      <c r="H115">
        <v>1.62</v>
      </c>
      <c r="I115">
        <v>87.5</v>
      </c>
      <c r="J115">
        <v>0.8</v>
      </c>
      <c r="L115">
        <v>0.8</v>
      </c>
      <c r="M115">
        <v>62</v>
      </c>
      <c r="N115">
        <v>0.35</v>
      </c>
      <c r="O115">
        <v>0.11</v>
      </c>
      <c r="P115">
        <v>4250178297</v>
      </c>
      <c r="Q115">
        <v>17898</v>
      </c>
      <c r="R115">
        <v>16550</v>
      </c>
      <c r="S115">
        <v>92.5</v>
      </c>
      <c r="T115">
        <v>15492</v>
      </c>
      <c r="U115">
        <v>14887</v>
      </c>
      <c r="V115">
        <v>96.1</v>
      </c>
      <c r="W115">
        <v>25815</v>
      </c>
      <c r="X115">
        <v>94.8</v>
      </c>
      <c r="Y115">
        <v>20753</v>
      </c>
      <c r="Z115">
        <v>97.5</v>
      </c>
      <c r="AA115">
        <v>5062</v>
      </c>
      <c r="AB115">
        <v>83.6</v>
      </c>
      <c r="AC115">
        <v>763633628000</v>
      </c>
      <c r="AD115">
        <v>360687300000</v>
      </c>
      <c r="AE115">
        <v>402946328000</v>
      </c>
      <c r="AF115">
        <v>56758</v>
      </c>
      <c r="AG115">
        <v>11.47</v>
      </c>
      <c r="AJ115">
        <v>523.82000000000005</v>
      </c>
      <c r="AK115">
        <v>1270.4892039018091</v>
      </c>
      <c r="AL115">
        <f t="shared" si="1"/>
        <v>22384.319459843708</v>
      </c>
    </row>
    <row r="116" spans="1:38" x14ac:dyDescent="0.3">
      <c r="A116" t="s">
        <v>45</v>
      </c>
      <c r="B116" t="s">
        <v>46</v>
      </c>
      <c r="C116">
        <v>2024</v>
      </c>
      <c r="M116">
        <v>44.27</v>
      </c>
      <c r="N116">
        <v>0.19</v>
      </c>
      <c r="O116">
        <v>0.01</v>
      </c>
      <c r="P116">
        <v>2653232748</v>
      </c>
      <c r="AC116">
        <v>134806890000</v>
      </c>
      <c r="AD116">
        <v>133127335000</v>
      </c>
      <c r="AE116">
        <v>1679555000</v>
      </c>
      <c r="AF116">
        <v>5769</v>
      </c>
      <c r="AG116">
        <v>50</v>
      </c>
      <c r="AI116">
        <v>407.06</v>
      </c>
      <c r="AJ116">
        <v>521.57000000000005</v>
      </c>
      <c r="AK116">
        <v>48.525799491026561</v>
      </c>
      <c r="AL116">
        <f t="shared" si="1"/>
        <v>8411.4750374461019</v>
      </c>
    </row>
    <row r="117" spans="1:38" x14ac:dyDescent="0.3">
      <c r="A117" t="s">
        <v>47</v>
      </c>
      <c r="B117" t="s">
        <v>48</v>
      </c>
      <c r="C117">
        <v>2024</v>
      </c>
      <c r="D117">
        <v>28.4</v>
      </c>
      <c r="E117">
        <v>36.409999999999997</v>
      </c>
      <c r="F117">
        <v>0.87</v>
      </c>
      <c r="G117">
        <v>28.4</v>
      </c>
      <c r="H117">
        <v>36.409999999999997</v>
      </c>
      <c r="I117">
        <v>0.87</v>
      </c>
      <c r="J117">
        <v>0.7</v>
      </c>
      <c r="L117">
        <v>0.7</v>
      </c>
      <c r="M117">
        <v>57.95</v>
      </c>
      <c r="N117">
        <v>0.36</v>
      </c>
      <c r="O117">
        <v>0.08</v>
      </c>
      <c r="P117">
        <v>2570530366</v>
      </c>
      <c r="Q117">
        <v>2294</v>
      </c>
      <c r="R117">
        <v>1990</v>
      </c>
      <c r="S117">
        <v>86.7</v>
      </c>
      <c r="T117">
        <v>2114</v>
      </c>
      <c r="U117">
        <v>1981</v>
      </c>
      <c r="V117">
        <v>93.7</v>
      </c>
      <c r="W117">
        <v>6947</v>
      </c>
      <c r="X117">
        <v>87.4</v>
      </c>
      <c r="Y117">
        <v>3191</v>
      </c>
      <c r="Z117">
        <v>92.9</v>
      </c>
      <c r="AA117">
        <v>3756</v>
      </c>
      <c r="AB117">
        <v>82.6</v>
      </c>
      <c r="AC117">
        <v>280697529000</v>
      </c>
      <c r="AD117">
        <v>242209822000</v>
      </c>
      <c r="AE117">
        <v>38487707000</v>
      </c>
      <c r="AF117">
        <v>13872</v>
      </c>
      <c r="AG117">
        <v>32.409999999999997</v>
      </c>
      <c r="AH117">
        <v>74.52</v>
      </c>
      <c r="AJ117">
        <v>892.02</v>
      </c>
      <c r="AK117">
        <v>280.90589020120461</v>
      </c>
      <c r="AL117">
        <f t="shared" si="1"/>
        <v>20249.84790954474</v>
      </c>
    </row>
    <row r="118" spans="1:38" x14ac:dyDescent="0.3">
      <c r="A118" t="s">
        <v>49</v>
      </c>
      <c r="B118" t="s">
        <v>50</v>
      </c>
      <c r="C118">
        <v>2024</v>
      </c>
      <c r="D118">
        <v>67.03</v>
      </c>
      <c r="E118">
        <v>40.25</v>
      </c>
      <c r="F118">
        <v>100</v>
      </c>
      <c r="G118">
        <v>24.75</v>
      </c>
      <c r="H118">
        <v>0</v>
      </c>
      <c r="I118">
        <v>55.23</v>
      </c>
      <c r="J118">
        <v>3.1</v>
      </c>
      <c r="K118">
        <v>0</v>
      </c>
      <c r="L118">
        <v>3.4</v>
      </c>
      <c r="M118">
        <v>51.3</v>
      </c>
      <c r="N118">
        <v>0.35</v>
      </c>
      <c r="O118">
        <v>0.1</v>
      </c>
      <c r="P118">
        <v>5239397376</v>
      </c>
      <c r="W118">
        <v>21494</v>
      </c>
      <c r="X118">
        <v>81.3</v>
      </c>
      <c r="Y118">
        <v>10221</v>
      </c>
      <c r="Z118">
        <v>93.1</v>
      </c>
      <c r="AA118">
        <v>11273</v>
      </c>
      <c r="AB118">
        <v>70.5</v>
      </c>
      <c r="AC118">
        <v>602745885000</v>
      </c>
      <c r="AD118">
        <v>419180545000</v>
      </c>
      <c r="AE118">
        <v>183565340000</v>
      </c>
      <c r="AF118">
        <v>42718</v>
      </c>
      <c r="AG118">
        <v>16.739999999999998</v>
      </c>
      <c r="AJ118">
        <v>360.2</v>
      </c>
      <c r="AK118">
        <v>714.52707216691238</v>
      </c>
      <c r="AL118">
        <f t="shared" si="1"/>
        <v>16726.604058404242</v>
      </c>
    </row>
    <row r="119" spans="1:38" x14ac:dyDescent="0.3">
      <c r="A119" t="s">
        <v>51</v>
      </c>
      <c r="B119" t="s">
        <v>52</v>
      </c>
      <c r="C119">
        <v>2024</v>
      </c>
      <c r="D119">
        <v>94.11</v>
      </c>
      <c r="E119">
        <v>91.01</v>
      </c>
      <c r="F119">
        <v>100</v>
      </c>
      <c r="G119">
        <v>39.380000000000003</v>
      </c>
      <c r="H119">
        <v>31.42</v>
      </c>
      <c r="I119">
        <v>54.5</v>
      </c>
      <c r="J119">
        <v>3.2</v>
      </c>
      <c r="L119">
        <v>3.2</v>
      </c>
      <c r="M119">
        <v>60.69</v>
      </c>
      <c r="N119">
        <v>0.31</v>
      </c>
      <c r="O119">
        <v>0.05</v>
      </c>
      <c r="P119">
        <v>3599361498</v>
      </c>
      <c r="W119">
        <v>9523</v>
      </c>
      <c r="X119">
        <v>88.2</v>
      </c>
      <c r="Y119">
        <v>3946</v>
      </c>
      <c r="Z119">
        <v>94.8</v>
      </c>
      <c r="AA119">
        <v>5577</v>
      </c>
      <c r="AB119">
        <v>83.5</v>
      </c>
      <c r="AC119">
        <v>65583293000</v>
      </c>
      <c r="AD119">
        <v>54536340000</v>
      </c>
      <c r="AE119">
        <v>11046953000</v>
      </c>
      <c r="AF119">
        <v>20025</v>
      </c>
      <c r="AG119">
        <v>13.66</v>
      </c>
      <c r="AK119">
        <v>253.2566778115002</v>
      </c>
      <c r="AL119">
        <f t="shared" si="1"/>
        <v>12647.025109188524</v>
      </c>
    </row>
    <row r="120" spans="1:38" x14ac:dyDescent="0.3">
      <c r="A120" t="s">
        <v>53</v>
      </c>
      <c r="B120" t="s">
        <v>54</v>
      </c>
      <c r="C120">
        <v>2024</v>
      </c>
      <c r="D120">
        <v>97.2</v>
      </c>
      <c r="E120">
        <v>97.43</v>
      </c>
      <c r="F120">
        <v>96.83</v>
      </c>
      <c r="G120">
        <v>97.2</v>
      </c>
      <c r="H120">
        <v>97.43</v>
      </c>
      <c r="I120">
        <v>96.83</v>
      </c>
      <c r="J120">
        <v>1.4</v>
      </c>
      <c r="K120">
        <v>0</v>
      </c>
      <c r="L120">
        <v>1.5</v>
      </c>
      <c r="M120">
        <v>41.94</v>
      </c>
      <c r="N120">
        <v>0.25</v>
      </c>
      <c r="O120">
        <v>0.12</v>
      </c>
      <c r="P120">
        <v>11325817321</v>
      </c>
      <c r="Q120">
        <v>15894</v>
      </c>
      <c r="R120">
        <v>11821</v>
      </c>
      <c r="S120">
        <v>74.400000000000006</v>
      </c>
      <c r="T120">
        <v>9640</v>
      </c>
      <c r="U120">
        <v>8265</v>
      </c>
      <c r="V120">
        <v>85.7</v>
      </c>
      <c r="W120">
        <v>57304</v>
      </c>
      <c r="X120">
        <v>89.5</v>
      </c>
      <c r="Y120">
        <v>37229</v>
      </c>
      <c r="Z120">
        <v>94.5</v>
      </c>
      <c r="AA120">
        <v>20075</v>
      </c>
      <c r="AB120">
        <v>80.099999999999994</v>
      </c>
      <c r="AC120">
        <v>992126593000</v>
      </c>
      <c r="AD120">
        <v>306768261000</v>
      </c>
      <c r="AE120">
        <v>685358332000</v>
      </c>
      <c r="AF120">
        <v>130019</v>
      </c>
      <c r="AG120">
        <v>11.48</v>
      </c>
      <c r="AH120">
        <v>16.21</v>
      </c>
      <c r="AI120">
        <v>16.21</v>
      </c>
      <c r="AJ120">
        <v>388.06</v>
      </c>
      <c r="AK120">
        <v>2690.979906520025</v>
      </c>
      <c r="AL120">
        <f t="shared" si="1"/>
        <v>20696.820514848023</v>
      </c>
    </row>
    <row r="121" spans="1:38" x14ac:dyDescent="0.3">
      <c r="A121" t="s">
        <v>55</v>
      </c>
      <c r="B121" t="s">
        <v>56</v>
      </c>
      <c r="C121">
        <v>2024</v>
      </c>
      <c r="D121">
        <v>60.98</v>
      </c>
      <c r="E121">
        <v>0</v>
      </c>
      <c r="F121">
        <v>65.63</v>
      </c>
      <c r="G121">
        <v>60.98</v>
      </c>
      <c r="H121">
        <v>0</v>
      </c>
      <c r="I121">
        <v>65.63</v>
      </c>
      <c r="M121">
        <v>46.55</v>
      </c>
      <c r="N121">
        <v>0.28000000000000003</v>
      </c>
      <c r="O121">
        <v>0.03</v>
      </c>
      <c r="P121">
        <v>3119020625</v>
      </c>
      <c r="AC121">
        <v>165442124000</v>
      </c>
      <c r="AD121">
        <v>151207624000</v>
      </c>
      <c r="AE121">
        <v>14234500000</v>
      </c>
      <c r="AF121">
        <v>11150</v>
      </c>
      <c r="AG121">
        <v>101.27</v>
      </c>
      <c r="AI121">
        <v>155.16</v>
      </c>
      <c r="AJ121">
        <v>339.6</v>
      </c>
      <c r="AK121">
        <v>96.297417842175221</v>
      </c>
      <c r="AL121">
        <f t="shared" si="1"/>
        <v>8636.539716787016</v>
      </c>
    </row>
    <row r="122" spans="1:38" x14ac:dyDescent="0.3">
      <c r="A122" t="s">
        <v>57</v>
      </c>
      <c r="B122" t="s">
        <v>58</v>
      </c>
      <c r="C122">
        <v>2024</v>
      </c>
      <c r="D122">
        <v>40.700000000000003</v>
      </c>
      <c r="E122">
        <v>0</v>
      </c>
      <c r="F122">
        <v>100</v>
      </c>
      <c r="G122">
        <v>40.69</v>
      </c>
      <c r="H122">
        <v>0</v>
      </c>
      <c r="I122">
        <v>100</v>
      </c>
      <c r="J122">
        <v>1</v>
      </c>
      <c r="L122">
        <v>0.1</v>
      </c>
      <c r="M122">
        <v>54.65</v>
      </c>
      <c r="N122">
        <v>0.17</v>
      </c>
      <c r="O122">
        <v>0.04</v>
      </c>
      <c r="P122">
        <v>4366205504</v>
      </c>
      <c r="W122">
        <v>13047</v>
      </c>
      <c r="X122">
        <v>83.1</v>
      </c>
      <c r="Y122">
        <v>5287</v>
      </c>
      <c r="Z122">
        <v>96.1</v>
      </c>
      <c r="AA122">
        <v>7760</v>
      </c>
      <c r="AB122">
        <v>74.2</v>
      </c>
      <c r="AC122">
        <v>115827670000</v>
      </c>
      <c r="AD122">
        <v>53293641000</v>
      </c>
      <c r="AE122">
        <v>62534029000</v>
      </c>
      <c r="AF122">
        <v>32352</v>
      </c>
      <c r="AG122">
        <v>22.84</v>
      </c>
      <c r="AI122">
        <v>31.11</v>
      </c>
      <c r="AJ122">
        <v>283.3</v>
      </c>
      <c r="AK122">
        <v>402.92079082227582</v>
      </c>
      <c r="AL122">
        <f t="shared" si="1"/>
        <v>12454.277658947694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Jimenez Salazar</cp:lastModifiedBy>
  <dcterms:created xsi:type="dcterms:W3CDTF">2026-06-01T22:41:27Z</dcterms:created>
  <dcterms:modified xsi:type="dcterms:W3CDTF">2026-06-02T13:43:09Z</dcterms:modified>
</cp:coreProperties>
</file>